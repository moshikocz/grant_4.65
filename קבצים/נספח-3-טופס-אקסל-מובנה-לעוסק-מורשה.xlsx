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O:\מימון\תכניות סיוע\עידוד הצמיחה - צמודי גדר\"/>
    </mc:Choice>
  </mc:AlternateContent>
  <xr:revisionPtr revIDLastSave="0" documentId="13_ncr:1_{C96995A9-0020-42DE-AB5F-946280023B8E}" xr6:coauthVersionLast="47" xr6:coauthVersionMax="47" xr10:uidLastSave="{00000000-0000-0000-0000-000000000000}"/>
  <workbookProtection workbookAlgorithmName="SHA-512" workbookHashValue="aEK92kAdJof3Zlbtu2dRaGjx2RiBObLFD0AAtZ6TaL1GoP6EQaIwi6GFE879IYtmJqijJBJTtmp9StYNF5sihw==" workbookSaltValue="AdwH/TJzf+sOj4DdSIxmWQ==" workbookSpinCount="100000" lockStructure="1"/>
  <bookViews>
    <workbookView xWindow="-120" yWindow="-120" windowWidth="29040" windowHeight="15720" xr2:uid="{00000000-000D-0000-FFFF-FFFF00000000}"/>
  </bookViews>
  <sheets>
    <sheet name="נתונים כלכליים" sheetId="12" r:id="rId1"/>
    <sheet name="גיליון עזר רשימות בחירה " sheetId="9" state="hidden" r:id="rId2"/>
    <sheet name="גיליון1" sheetId="13" state="hidden" r:id="rId3"/>
  </sheets>
  <externalReferences>
    <externalReference r:id="rId4"/>
  </externalReferences>
  <definedNames>
    <definedName name="_xlnm.Print_Area" localSheetId="0">'נתונים כלכליים'!$A$1:$P$129</definedName>
    <definedName name="כלים_לשיפור_הפיריון">'גיליון עזר רשימות בחירה '!$B$7:$B$13</definedName>
    <definedName name="פעולות_לתוכנית_התאמה">'[1]רשימות בחירה גיליון עזר '!$B$3:$B$8</definedName>
    <definedName name="פעולות_שוטפות">'[1]רשימות בחירה גיליון עזר '!$B$11:$B$16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4" i="12" l="1"/>
  <c r="O102" i="12" l="1"/>
  <c r="V86" i="12" l="1"/>
  <c r="V93" i="12" l="1"/>
  <c r="V92" i="12"/>
  <c r="V91" i="12"/>
  <c r="V90" i="12"/>
  <c r="V89" i="12"/>
  <c r="V88" i="12"/>
  <c r="V87" i="12"/>
  <c r="V85" i="12"/>
  <c r="V84" i="12"/>
  <c r="V83" i="12"/>
  <c r="V82" i="12"/>
  <c r="V81" i="12"/>
  <c r="U94" i="12"/>
  <c r="V94" i="12" l="1"/>
  <c r="W94" i="12" s="1"/>
  <c r="E48" i="12"/>
  <c r="G48" i="12"/>
  <c r="I48" i="12"/>
  <c r="K48" i="12"/>
  <c r="M48" i="12"/>
  <c r="O48" i="12"/>
  <c r="C48" i="12"/>
  <c r="O23" i="12" l="1"/>
  <c r="O26" i="12" s="1"/>
  <c r="O30" i="12" s="1"/>
  <c r="O32" i="12" s="1"/>
  <c r="O33" i="12" s="1"/>
  <c r="O21" i="12"/>
  <c r="G103" i="12" l="1"/>
  <c r="K103" i="12"/>
  <c r="I103" i="12"/>
  <c r="O24" i="12"/>
  <c r="O46" i="12" s="1"/>
  <c r="O27" i="12"/>
  <c r="O121" i="12"/>
  <c r="O47" i="12"/>
  <c r="O49" i="12" s="1"/>
  <c r="O45" i="12"/>
  <c r="O44" i="12"/>
  <c r="P62" i="12"/>
  <c r="O74" i="12" s="1"/>
  <c r="O62" i="12"/>
  <c r="O73" i="12" s="1"/>
  <c r="O103" i="12" l="1"/>
  <c r="O120" i="12" s="1"/>
  <c r="O50" i="12"/>
  <c r="O75" i="12"/>
  <c r="O70" i="12" s="1"/>
  <c r="O125" i="12" s="1"/>
  <c r="O123" i="12"/>
  <c r="O124" i="12"/>
  <c r="O128" i="12" s="1"/>
  <c r="O122" i="12"/>
  <c r="M121" i="12"/>
  <c r="K121" i="12"/>
  <c r="I121" i="12"/>
  <c r="G121" i="12"/>
  <c r="E121" i="12"/>
  <c r="C121" i="12"/>
  <c r="M120" i="12"/>
  <c r="I120" i="12"/>
  <c r="K120" i="12"/>
  <c r="O127" i="12" l="1"/>
  <c r="O94" i="12"/>
  <c r="P94" i="12" s="1"/>
  <c r="P93" i="12"/>
  <c r="P92" i="12"/>
  <c r="P91" i="12"/>
  <c r="P90" i="12"/>
  <c r="P89" i="12"/>
  <c r="P88" i="12"/>
  <c r="P87" i="12"/>
  <c r="P86" i="12"/>
  <c r="P85" i="12"/>
  <c r="P84" i="12"/>
  <c r="P83" i="12"/>
  <c r="P82" i="12"/>
  <c r="P81" i="12"/>
  <c r="E21" i="12" l="1"/>
  <c r="G21" i="12"/>
  <c r="I21" i="12"/>
  <c r="K21" i="12"/>
  <c r="M21" i="12"/>
  <c r="C44" i="12" l="1"/>
  <c r="E44" i="12"/>
  <c r="G44" i="12"/>
  <c r="I44" i="12"/>
  <c r="K44" i="12"/>
  <c r="M44" i="12"/>
  <c r="G23" i="12"/>
  <c r="G24" i="12" s="1"/>
  <c r="G46" i="12" s="1"/>
  <c r="I23" i="12"/>
  <c r="I24" i="12" s="1"/>
  <c r="I46" i="12" s="1"/>
  <c r="K23" i="12"/>
  <c r="K24" i="12" s="1"/>
  <c r="K46" i="12" s="1"/>
  <c r="M23" i="12"/>
  <c r="M24" i="12" s="1"/>
  <c r="M46" i="12" s="1"/>
  <c r="E23" i="12"/>
  <c r="E45" i="12" s="1"/>
  <c r="C23" i="12"/>
  <c r="C45" i="12" s="1"/>
  <c r="K26" i="12" l="1"/>
  <c r="K30" i="12" s="1"/>
  <c r="K45" i="12"/>
  <c r="E24" i="12"/>
  <c r="E46" i="12" s="1"/>
  <c r="M45" i="12"/>
  <c r="I45" i="12"/>
  <c r="G26" i="12"/>
  <c r="G30" i="12" s="1"/>
  <c r="G45" i="12"/>
  <c r="C24" i="12"/>
  <c r="C46" i="12" s="1"/>
  <c r="I26" i="12"/>
  <c r="I30" i="12" s="1"/>
  <c r="M26" i="12"/>
  <c r="E26" i="12"/>
  <c r="E30" i="12" s="1"/>
  <c r="C26" i="12"/>
  <c r="C30" i="12" s="1"/>
  <c r="M47" i="12" l="1"/>
  <c r="M49" i="12" s="1"/>
  <c r="M30" i="12"/>
  <c r="M32" i="12" s="1"/>
  <c r="M33" i="12" s="1"/>
  <c r="G27" i="12"/>
  <c r="C32" i="12"/>
  <c r="C33" i="12" s="1"/>
  <c r="C47" i="12"/>
  <c r="C49" i="12" s="1"/>
  <c r="E32" i="12"/>
  <c r="E33" i="12" s="1"/>
  <c r="K32" i="12"/>
  <c r="K33" i="12" s="1"/>
  <c r="K27" i="12"/>
  <c r="K47" i="12"/>
  <c r="K49" i="12" s="1"/>
  <c r="I27" i="12"/>
  <c r="I47" i="12"/>
  <c r="I49" i="12" s="1"/>
  <c r="G32" i="12"/>
  <c r="G33" i="12" s="1"/>
  <c r="G47" i="12"/>
  <c r="E27" i="12"/>
  <c r="E47" i="12"/>
  <c r="E49" i="12" s="1"/>
  <c r="I32" i="12"/>
  <c r="I33" i="12" s="1"/>
  <c r="C27" i="12"/>
  <c r="M27" i="12"/>
  <c r="K50" i="12" l="1"/>
  <c r="K75" i="12"/>
  <c r="G122" i="12"/>
  <c r="G49" i="12"/>
  <c r="D75" i="12"/>
  <c r="C50" i="12"/>
  <c r="M75" i="12"/>
  <c r="M50" i="12"/>
  <c r="E50" i="12"/>
  <c r="E75" i="12"/>
  <c r="I75" i="12"/>
  <c r="I50" i="12"/>
  <c r="M122" i="12"/>
  <c r="K122" i="12"/>
  <c r="I122" i="12"/>
  <c r="C122" i="12"/>
  <c r="E122" i="12"/>
  <c r="G75" i="12" l="1"/>
  <c r="G50" i="12"/>
  <c r="N62" i="12"/>
  <c r="M74" i="12" s="1"/>
  <c r="M62" i="12"/>
  <c r="M73" i="12" s="1"/>
  <c r="L62" i="12"/>
  <c r="K74" i="12" s="1"/>
  <c r="K62" i="12"/>
  <c r="K73" i="12" s="1"/>
  <c r="J62" i="12"/>
  <c r="I74" i="12" s="1"/>
  <c r="I62" i="12"/>
  <c r="I73" i="12" s="1"/>
  <c r="I124" i="12" l="1"/>
  <c r="M124" i="12"/>
  <c r="K123" i="12"/>
  <c r="K70" i="12"/>
  <c r="K124" i="12"/>
  <c r="I123" i="12"/>
  <c r="M123" i="12"/>
  <c r="I70" i="12"/>
  <c r="M70" i="12"/>
  <c r="P70" i="12" s="1"/>
  <c r="N93" i="12"/>
  <c r="H62" i="12"/>
  <c r="G62" i="12"/>
  <c r="G73" i="12" s="1"/>
  <c r="F62" i="12"/>
  <c r="E74" i="12" s="1"/>
  <c r="E62" i="12"/>
  <c r="E73" i="12" s="1"/>
  <c r="D62" i="12"/>
  <c r="C62" i="12"/>
  <c r="D73" i="12" s="1"/>
  <c r="I127" i="12" l="1"/>
  <c r="I128" i="12"/>
  <c r="K127" i="12"/>
  <c r="K128" i="12"/>
  <c r="M127" i="12"/>
  <c r="M128" i="12"/>
  <c r="M125" i="12"/>
  <c r="O126" i="12"/>
  <c r="N70" i="12"/>
  <c r="M126" i="12" s="1"/>
  <c r="K125" i="12"/>
  <c r="L70" i="12"/>
  <c r="K126" i="12" s="1"/>
  <c r="I125" i="12"/>
  <c r="E70" i="12"/>
  <c r="E123" i="12"/>
  <c r="C123" i="12"/>
  <c r="G123" i="12"/>
  <c r="E124" i="12"/>
  <c r="E128" i="12" s="1"/>
  <c r="D74" i="12"/>
  <c r="C124" i="12"/>
  <c r="G74" i="12"/>
  <c r="G124" i="12"/>
  <c r="N91" i="12"/>
  <c r="N92" i="12"/>
  <c r="N89" i="12"/>
  <c r="N90" i="12"/>
  <c r="N87" i="12"/>
  <c r="N88" i="12"/>
  <c r="N85" i="12"/>
  <c r="N86" i="12"/>
  <c r="N83" i="12"/>
  <c r="N84" i="12"/>
  <c r="N81" i="12"/>
  <c r="N82" i="12"/>
  <c r="G70" i="12" l="1"/>
  <c r="H70" i="12" s="1"/>
  <c r="G126" i="12" s="1"/>
  <c r="D70" i="12"/>
  <c r="C125" i="12" s="1"/>
  <c r="C128" i="12"/>
  <c r="C127" i="12"/>
  <c r="E127" i="12"/>
  <c r="G127" i="12"/>
  <c r="G128" i="12"/>
  <c r="E125" i="12"/>
  <c r="N94" i="12"/>
  <c r="J70" i="12" l="1"/>
  <c r="I126" i="12" s="1"/>
  <c r="G125" i="12"/>
  <c r="F70" i="12"/>
  <c r="E126" i="12" s="1"/>
</calcChain>
</file>

<file path=xl/sharedStrings.xml><?xml version="1.0" encoding="utf-8"?>
<sst xmlns="http://schemas.openxmlformats.org/spreadsheetml/2006/main" count="157" uniqueCount="108">
  <si>
    <t>שיווק</t>
  </si>
  <si>
    <t>סה"כ</t>
  </si>
  <si>
    <t>אחר</t>
  </si>
  <si>
    <t>כלים לשיפור הפיריון</t>
  </si>
  <si>
    <t>שיפור מערך ניהול מלאים, וספקים</t>
  </si>
  <si>
    <t>רכש והטמעת מערכות לבקרה</t>
  </si>
  <si>
    <t>שיפור מערכי שיווק</t>
  </si>
  <si>
    <t>הכשרות מקצועיות לעובדים</t>
  </si>
  <si>
    <t xml:space="preserve">אימוץ פרקטיקות ניהול מתקדמות מבוססות מידע </t>
  </si>
  <si>
    <t>שינוי ארגוני</t>
  </si>
  <si>
    <t>השקעות בהון פיזי ומבנים</t>
  </si>
  <si>
    <t>תוצאות עסקיות - (על פי דוחות מבוקרים)</t>
  </si>
  <si>
    <t>רווח גולמי</t>
  </si>
  <si>
    <t>רווחיות גולמית (ב%)</t>
  </si>
  <si>
    <t>תחום</t>
  </si>
  <si>
    <t>ניהול</t>
  </si>
  <si>
    <t>מנהלה</t>
  </si>
  <si>
    <t>נתוני חישוב הפריון</t>
  </si>
  <si>
    <t>מינימלי</t>
  </si>
  <si>
    <t>אחוז צמיחה במכירות</t>
  </si>
  <si>
    <t>אחוז רווח גולמי</t>
  </si>
  <si>
    <t>אחוז רווח תפעולי</t>
  </si>
  <si>
    <t>מכירות ביחידות</t>
  </si>
  <si>
    <t>עלות המכירות</t>
  </si>
  <si>
    <t>הוצאות מכירה הנהלה וכלליות</t>
  </si>
  <si>
    <t>רווח תפעולי</t>
  </si>
  <si>
    <t>הוצאות מימון</t>
  </si>
  <si>
    <t>רווח לפני מס</t>
  </si>
  <si>
    <t>הוצאות מס</t>
  </si>
  <si>
    <t>רווח נקי</t>
  </si>
  <si>
    <t>אחוז רווח נקי</t>
  </si>
  <si>
    <t xml:space="preserve">שנה </t>
  </si>
  <si>
    <t>נתונים כלכלים</t>
  </si>
  <si>
    <t>מדדי פיריון</t>
  </si>
  <si>
    <t xml:space="preserve">מספר עובדים ועלויות שכר </t>
  </si>
  <si>
    <t>תוכנית השקעות</t>
  </si>
  <si>
    <t xml:space="preserve">סכום </t>
  </si>
  <si>
    <t>שינוי ב %</t>
  </si>
  <si>
    <t xml:space="preserve">הסבר קצר </t>
  </si>
  <si>
    <t>תחזית עסקית</t>
  </si>
  <si>
    <r>
      <t xml:space="preserve">סך עלות השכר </t>
    </r>
    <r>
      <rPr>
        <sz val="12"/>
        <color theme="1"/>
        <rFont val="David"/>
        <family val="2"/>
        <charset val="177"/>
      </rPr>
      <t>(עלות מעביד)</t>
    </r>
  </si>
  <si>
    <t>הכנסות (בניכוי הסיוע בגין התכנית)</t>
  </si>
  <si>
    <t>-</t>
  </si>
  <si>
    <t>שינוי במכירות לעומת שנה קודמת (%)</t>
  </si>
  <si>
    <t>% מסך היקף ההשקעות בתכנית</t>
  </si>
  <si>
    <t>הנחות והסבר לתחזית מכירות ורווחיות - תחזית אופטימלית ותחזית פסימית</t>
  </si>
  <si>
    <t>רווח והפסד (אלפי ₪)</t>
  </si>
  <si>
    <t>יש למלא את הנתונים באלפי ₪</t>
  </si>
  <si>
    <t>ערך מוסף לשעה - ₪</t>
  </si>
  <si>
    <t>עלות שכר באלפי ₪</t>
  </si>
  <si>
    <t>סה"כ מכירות (אלפי ₪)</t>
  </si>
  <si>
    <t>יש לציין סה"כ משרות הכולל סך כל חלקי המשרות (למשל עובד בחצי משרה = 0.5 עובד)</t>
  </si>
  <si>
    <t>יש למלא באחוזים</t>
  </si>
  <si>
    <t>הכנסות חד פעמיות</t>
  </si>
  <si>
    <t>סה"כ הכנסות (ללא הכנסות חד פעמיות)</t>
  </si>
  <si>
    <t>לו"ז לביצוע רבעון/ חודש</t>
  </si>
  <si>
    <t>כמות נרכשת ביחידות/שעןת עבודה</t>
  </si>
  <si>
    <t>פירוט הצעדים ואבני דרך</t>
  </si>
  <si>
    <t>שלבי הביצוע</t>
  </si>
  <si>
    <t>לפתוח רשימה</t>
  </si>
  <si>
    <t>% הסיוע מהיקף ההשקעה</t>
  </si>
  <si>
    <r>
      <t xml:space="preserve">סה"כ סכום הוצאה 
</t>
    </r>
    <r>
      <rPr>
        <sz val="12"/>
        <rFont val="David"/>
        <family val="2"/>
      </rPr>
      <t>(באלפי ₪)</t>
    </r>
  </si>
  <si>
    <r>
      <t xml:space="preserve">סיוע מבוקש </t>
    </r>
    <r>
      <rPr>
        <sz val="12"/>
        <rFont val="David"/>
        <family val="2"/>
      </rPr>
      <t xml:space="preserve">
(באלפי ₪)</t>
    </r>
  </si>
  <si>
    <r>
      <t>עלות שכר שנתי</t>
    </r>
    <r>
      <rPr>
        <sz val="12"/>
        <color theme="1"/>
        <rFont val="David"/>
        <family val="2"/>
      </rPr>
      <t xml:space="preserve"> 
(באלפי ₪)</t>
    </r>
  </si>
  <si>
    <t>שם החברה</t>
  </si>
  <si>
    <t>אופטימלי</t>
  </si>
  <si>
    <t>נא למלא את התאים הלבנים בלבד!</t>
  </si>
  <si>
    <t>על בסיס דוחות מבוקרים (במידה ואין, על בסיס מאזן בוחן)</t>
  </si>
  <si>
    <t>ייצור</t>
  </si>
  <si>
    <t>מספר משרות</t>
  </si>
  <si>
    <t>תוכנית השקעה בחלוקה לשנים</t>
  </si>
  <si>
    <t>שנים</t>
  </si>
  <si>
    <t>יש למלא את האחוזים בהתאם לתחזיות החברה.</t>
  </si>
  <si>
    <t>טבלת עזר  ( מוסתרת)</t>
  </si>
  <si>
    <t>היקף השקעה (לפי תוכנית ההשקעה בחלוקה לשנים)</t>
  </si>
  <si>
    <t xml:space="preserve">עוסק מורשה : רווחיות תפעולית (רווח לצרכי מס+פחת+הוצאות מימון בניכוי הוצאות חד פעמיות) – עבור </t>
  </si>
  <si>
    <t>ערך מוסף לשעה (₪)</t>
  </si>
  <si>
    <t>% שינוי שנתי</t>
  </si>
  <si>
    <t>עלות משרה ממוצעת (אלפי ₪)</t>
  </si>
  <si>
    <t>% הוצאות כוח אדם מהכנסה</t>
  </si>
  <si>
    <t>סה"כ עלות כ"א (אלפי ₪)</t>
  </si>
  <si>
    <t>סכום</t>
  </si>
  <si>
    <t>תאריך סיום</t>
  </si>
  <si>
    <t>יש למלא את הנתונים של הוצאות ריבית, פחת והפחתות בהתאם להוצאות שהוכרו בדוח שנתי שהוגש לרשות המיסים</t>
  </si>
  <si>
    <t>הוצאות ריבית מוכרות</t>
  </si>
  <si>
    <t>פחת והפחתות</t>
  </si>
  <si>
    <t>רווח לצרכי מס</t>
  </si>
  <si>
    <t>הוצאות ריבית, פחת והפחתות</t>
  </si>
  <si>
    <t>רווחיות תפעולית (רווח לצרכי מס+פחת+הוצאות מימון)</t>
  </si>
  <si>
    <t>סה"כ רווח תפעולי (רווח לצרכי מס+פחת+הוצאות מימון בניכוי הוצאות חד פעמיות)</t>
  </si>
  <si>
    <t>רווחיות תפעולית (רווח לצרכי מס+פחת+הוצאות מימון) מסך ההכנסות (%)</t>
  </si>
  <si>
    <t>סך ההשקעה בחלוקה לשנים (אלפי ₪)</t>
  </si>
  <si>
    <t>שיעור תוכנית ההשקעה בחלוקה לשנים (%)</t>
  </si>
  <si>
    <r>
      <t xml:space="preserve">תקציב מומלץ 
סכום מאושר מסך  הוצאה 
</t>
    </r>
    <r>
      <rPr>
        <sz val="12"/>
        <rFont val="David"/>
        <family val="2"/>
      </rPr>
      <t>(באלפי ₪)</t>
    </r>
  </si>
  <si>
    <r>
      <t xml:space="preserve">50% מתקציב מומלץ עד 0.5 מיליון ₪ </t>
    </r>
    <r>
      <rPr>
        <sz val="12"/>
        <rFont val="David"/>
        <family val="2"/>
      </rPr>
      <t xml:space="preserve">
(באלפי ₪)</t>
    </r>
  </si>
  <si>
    <t>ביאורים:</t>
  </si>
  <si>
    <t>המלצות הבודק</t>
  </si>
  <si>
    <t xml:space="preserve">על בסיס דוח מבוקר או מאזן בוחן </t>
  </si>
  <si>
    <r>
      <t xml:space="preserve">סה"כ שעות עבודה בשנה </t>
    </r>
    <r>
      <rPr>
        <sz val="11"/>
        <color theme="1"/>
        <rFont val="David"/>
        <family val="2"/>
        <charset val="177"/>
      </rPr>
      <t>(משרה מלאה:  182 שעות חודשיות)</t>
    </r>
  </si>
  <si>
    <t>ביאורים  - יש לפרט את מהות השוני בכ"א ו/או הוצאות רלוונטיות 2018-2023</t>
  </si>
  <si>
    <t>השקעות פיזיות, ציוד ורכש</t>
  </si>
  <si>
    <t>עלויות רכש והטמעת מערכות מחשוב, ודיגיטציה וחדשנות</t>
  </si>
  <si>
    <t>עלויות רכש מערכות בקרה ואוטומציה</t>
  </si>
  <si>
    <t>עלויות שיפור מערכי השיווק</t>
  </si>
  <si>
    <t>לשנים 2026-2029 - יש להזין את התחזית הריאלית ביותר (ללא הכנסות הסיוע מהתכנית)</t>
  </si>
  <si>
    <t>נתוני 2023-2024 על בסיס דוח מבוקר</t>
  </si>
  <si>
    <t>יש למלא את שיעור תוכנית ההשקעה בחלוקה לשנים, בהתאם לתחזית החברה ולתקופת התוכנית (עד 24 חודשים) בין השנים 2026 ל-2028.</t>
  </si>
  <si>
    <t>תכנית צמיחה ליישובים צמודי גדר בקרב עסקים קטנים ובינוניים - הוראת מנכ"ל מס' 4.65
נספח 3 - טופס אקסל מובנה לעוסק מורשה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</si>
</sst>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3" x14ac:knownFonts="1">
    <font>
      <sz val="11"/>
      <color theme="1"/>
      <name val="Arial"/>
      <family val="2"/>
      <charset val="177"/>
      <scheme val="minor"/>
    </font>
    <font>
      <sz val="11"/>
      <color theme="1"/>
      <name val="Arial"/>
      <family val="2"/>
      <charset val="177"/>
      <scheme val="minor"/>
    </font>
    <font>
      <sz val="11"/>
      <color rgb="FF9C0006"/>
      <name val="Arial"/>
      <family val="2"/>
      <charset val="177"/>
      <scheme val="minor"/>
    </font>
    <font>
      <u/>
      <sz val="11"/>
      <color theme="10"/>
      <name val="Arial"/>
      <family val="2"/>
      <charset val="177"/>
      <scheme val="minor"/>
    </font>
    <font>
      <b/>
      <sz val="12"/>
      <color theme="1"/>
      <name val="Arial"/>
      <family val="2"/>
      <scheme val="minor"/>
    </font>
    <font>
      <b/>
      <sz val="12"/>
      <color theme="1"/>
      <name val="Times New Roman"/>
      <family val="1"/>
    </font>
    <font>
      <b/>
      <u/>
      <sz val="12"/>
      <color theme="1"/>
      <name val="David"/>
      <family val="2"/>
      <charset val="177"/>
    </font>
    <font>
      <b/>
      <sz val="12"/>
      <color theme="1"/>
      <name val="David"/>
      <family val="2"/>
      <charset val="177"/>
    </font>
    <font>
      <b/>
      <sz val="12"/>
      <color theme="1"/>
      <name val="Arial"/>
      <family val="2"/>
    </font>
    <font>
      <sz val="12"/>
      <color theme="1"/>
      <name val="David"/>
      <family val="2"/>
      <charset val="177"/>
    </font>
    <font>
      <u/>
      <sz val="12"/>
      <color theme="1"/>
      <name val="David"/>
      <family val="2"/>
      <charset val="177"/>
    </font>
    <font>
      <b/>
      <sz val="14"/>
      <color theme="1"/>
      <name val="Arial"/>
      <family val="2"/>
      <scheme val="minor"/>
    </font>
    <font>
      <b/>
      <u/>
      <sz val="11"/>
      <color theme="1"/>
      <name val="Arial"/>
      <family val="2"/>
      <scheme val="minor"/>
    </font>
    <font>
      <b/>
      <sz val="16"/>
      <name val="David"/>
      <family val="2"/>
      <charset val="177"/>
    </font>
    <font>
      <b/>
      <sz val="16"/>
      <name val="Arial"/>
      <family val="2"/>
      <charset val="177"/>
      <scheme val="minor"/>
    </font>
    <font>
      <sz val="12"/>
      <color theme="1"/>
      <name val="Arial"/>
      <family val="2"/>
    </font>
    <font>
      <sz val="12"/>
      <color rgb="FF9C0006"/>
      <name val="David"/>
      <family val="2"/>
      <charset val="177"/>
    </font>
    <font>
      <b/>
      <sz val="12"/>
      <name val="David"/>
      <family val="2"/>
      <charset val="177"/>
    </font>
    <font>
      <sz val="12"/>
      <name val="David"/>
      <family val="2"/>
      <charset val="177"/>
    </font>
    <font>
      <sz val="10"/>
      <color theme="1"/>
      <name val="Arial"/>
      <family val="2"/>
      <charset val="177"/>
      <scheme val="minor"/>
    </font>
    <font>
      <b/>
      <sz val="10"/>
      <name val="David"/>
      <family val="2"/>
      <charset val="177"/>
    </font>
    <font>
      <sz val="12"/>
      <name val="Arial"/>
      <family val="2"/>
    </font>
    <font>
      <sz val="12"/>
      <name val="David"/>
      <family val="2"/>
    </font>
    <font>
      <sz val="12"/>
      <color theme="1"/>
      <name val="Arial"/>
      <family val="2"/>
      <scheme val="minor"/>
    </font>
    <font>
      <sz val="12"/>
      <color theme="1"/>
      <name val="David"/>
      <family val="2"/>
    </font>
    <font>
      <b/>
      <u/>
      <sz val="12"/>
      <color theme="1"/>
      <name val="Arial"/>
      <family val="2"/>
      <scheme val="minor"/>
    </font>
    <font>
      <b/>
      <sz val="18"/>
      <color theme="0"/>
      <name val="Arial"/>
      <family val="2"/>
      <scheme val="minor"/>
    </font>
    <font>
      <b/>
      <sz val="14"/>
      <color theme="1"/>
      <name val="David"/>
      <family val="2"/>
      <charset val="177"/>
    </font>
    <font>
      <b/>
      <sz val="15"/>
      <color theme="1"/>
      <name val="David"/>
      <family val="2"/>
      <charset val="177"/>
    </font>
    <font>
      <b/>
      <sz val="12"/>
      <color theme="1"/>
      <name val="David"/>
      <family val="2"/>
    </font>
    <font>
      <sz val="11"/>
      <color theme="0" tint="-0.34998626667073579"/>
      <name val="Arial"/>
      <family val="2"/>
      <charset val="177"/>
      <scheme val="minor"/>
    </font>
    <font>
      <sz val="11"/>
      <color theme="1"/>
      <name val="David"/>
      <family val="2"/>
      <charset val="177"/>
    </font>
    <font>
      <sz val="11"/>
      <color theme="1"/>
      <name val="Arial"/>
      <family val="2"/>
    </font>
  </fonts>
  <fills count="15">
    <fill>
      <patternFill patternType="none"/>
    </fill>
    <fill>
      <patternFill patternType="gray125"/>
    </fill>
    <fill>
      <patternFill patternType="solid">
        <fgColor rgb="FFFFC7CE"/>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auto="1"/>
      </patternFill>
    </fill>
    <fill>
      <gradientFill degree="90">
        <stop position="0">
          <color theme="0"/>
        </stop>
        <stop position="1">
          <color theme="4" tint="0.80001220740379042"/>
        </stop>
      </gradientFill>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9B3F89"/>
        <bgColor indexed="64"/>
      </patternFill>
    </fill>
  </fills>
  <borders count="5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227">
    <xf numFmtId="0" fontId="0" fillId="0" borderId="0" xfId="0"/>
    <xf numFmtId="0" fontId="0" fillId="4" borderId="0" xfId="0" applyFill="1" applyProtection="1">
      <protection hidden="1"/>
    </xf>
    <xf numFmtId="2" fontId="0" fillId="4" borderId="0" xfId="0" applyNumberFormat="1" applyFill="1" applyAlignment="1" applyProtection="1">
      <alignment horizontal="center" vertical="center" wrapText="1"/>
      <protection hidden="1"/>
    </xf>
    <xf numFmtId="0" fontId="0" fillId="3" borderId="0" xfId="0" applyFill="1" applyBorder="1" applyProtection="1">
      <protection hidden="1"/>
    </xf>
    <xf numFmtId="0" fontId="0" fillId="3" borderId="5" xfId="0" applyFill="1" applyBorder="1" applyProtection="1">
      <protection hidden="1"/>
    </xf>
    <xf numFmtId="0" fontId="0" fillId="11" borderId="0" xfId="0" applyFill="1" applyProtection="1">
      <protection hidden="1"/>
    </xf>
    <xf numFmtId="0" fontId="0" fillId="11" borderId="0" xfId="0" applyFill="1" applyBorder="1" applyProtection="1">
      <protection hidden="1"/>
    </xf>
    <xf numFmtId="0" fontId="0" fillId="13" borderId="0" xfId="0" applyFill="1" applyBorder="1" applyProtection="1">
      <protection hidden="1"/>
    </xf>
    <xf numFmtId="9" fontId="30" fillId="11" borderId="0" xfId="1" applyFont="1" applyFill="1" applyProtection="1">
      <protection hidden="1"/>
    </xf>
    <xf numFmtId="2" fontId="11" fillId="6" borderId="0" xfId="0" applyNumberFormat="1" applyFont="1" applyFill="1" applyBorder="1" applyAlignment="1" applyProtection="1">
      <alignment horizontal="center" vertical="center" wrapText="1"/>
      <protection hidden="1"/>
    </xf>
    <xf numFmtId="2" fontId="0" fillId="11" borderId="0" xfId="0" applyNumberFormat="1" applyFill="1" applyAlignment="1" applyProtection="1">
      <alignment horizontal="center" vertical="center" wrapText="1"/>
      <protection hidden="1"/>
    </xf>
    <xf numFmtId="2" fontId="25" fillId="12" borderId="0" xfId="0" applyNumberFormat="1" applyFont="1" applyFill="1" applyBorder="1" applyAlignment="1" applyProtection="1">
      <alignment horizontal="center" vertical="center" wrapText="1"/>
      <protection hidden="1"/>
    </xf>
    <xf numFmtId="2" fontId="25" fillId="11" borderId="0" xfId="0" applyNumberFormat="1" applyFont="1" applyFill="1" applyBorder="1" applyAlignment="1" applyProtection="1">
      <alignment vertical="center" wrapText="1"/>
      <protection hidden="1"/>
    </xf>
    <xf numFmtId="0" fontId="7" fillId="7" borderId="9" xfId="0" applyFont="1" applyFill="1" applyBorder="1" applyAlignment="1" applyProtection="1">
      <alignment horizontal="center" vertical="center" wrapText="1" readingOrder="2"/>
      <protection hidden="1"/>
    </xf>
    <xf numFmtId="0" fontId="7" fillId="11" borderId="9" xfId="0" applyFont="1" applyFill="1" applyBorder="1" applyAlignment="1" applyProtection="1">
      <alignment horizontal="center" vertical="center" wrapText="1" readingOrder="2"/>
      <protection hidden="1"/>
    </xf>
    <xf numFmtId="0" fontId="9" fillId="7" borderId="9" xfId="0" applyFont="1" applyFill="1" applyBorder="1" applyAlignment="1" applyProtection="1">
      <alignment horizontal="center" vertical="center" wrapText="1" readingOrder="2"/>
      <protection hidden="1"/>
    </xf>
    <xf numFmtId="0" fontId="9" fillId="11" borderId="9" xfId="0" applyFont="1" applyFill="1" applyBorder="1" applyAlignment="1" applyProtection="1">
      <alignment horizontal="center" vertical="center" wrapText="1" readingOrder="2"/>
      <protection hidden="1"/>
    </xf>
    <xf numFmtId="0" fontId="0" fillId="3" borderId="4" xfId="0" applyFill="1" applyBorder="1" applyProtection="1">
      <protection hidden="1"/>
    </xf>
    <xf numFmtId="0" fontId="9" fillId="11" borderId="26" xfId="0" applyFont="1" applyFill="1" applyBorder="1" applyAlignment="1" applyProtection="1">
      <alignment horizontal="center" vertical="center" wrapText="1" readingOrder="2"/>
      <protection hidden="1"/>
    </xf>
    <xf numFmtId="0" fontId="0" fillId="10" borderId="19" xfId="0" applyFill="1" applyBorder="1" applyProtection="1">
      <protection hidden="1"/>
    </xf>
    <xf numFmtId="0" fontId="6" fillId="7" borderId="9" xfId="0" applyFont="1" applyFill="1" applyBorder="1" applyAlignment="1" applyProtection="1">
      <alignment vertical="center" wrapText="1" readingOrder="2"/>
      <protection hidden="1"/>
    </xf>
    <xf numFmtId="0" fontId="9" fillId="7" borderId="6" xfId="0" applyFont="1" applyFill="1" applyBorder="1" applyAlignment="1" applyProtection="1">
      <alignment horizontal="right" vertical="center" readingOrder="2"/>
      <protection hidden="1"/>
    </xf>
    <xf numFmtId="0" fontId="6" fillId="7" borderId="6" xfId="0" applyFont="1" applyFill="1" applyBorder="1" applyAlignment="1" applyProtection="1">
      <alignment horizontal="right" vertical="center" readingOrder="2"/>
      <protection hidden="1"/>
    </xf>
    <xf numFmtId="0" fontId="7" fillId="7" borderId="9" xfId="0" applyFont="1" applyFill="1" applyBorder="1" applyAlignment="1" applyProtection="1">
      <alignment horizontal="center" vertical="center" readingOrder="2"/>
      <protection hidden="1"/>
    </xf>
    <xf numFmtId="0" fontId="7" fillId="7" borderId="10" xfId="0" applyFont="1" applyFill="1" applyBorder="1" applyAlignment="1" applyProtection="1">
      <alignment horizontal="center" vertical="center" wrapText="1" readingOrder="2"/>
      <protection hidden="1"/>
    </xf>
    <xf numFmtId="0" fontId="9" fillId="11" borderId="6" xfId="0" applyFont="1" applyFill="1" applyBorder="1" applyAlignment="1" applyProtection="1">
      <alignment horizontal="right" vertical="center" readingOrder="2"/>
      <protection hidden="1"/>
    </xf>
    <xf numFmtId="0" fontId="7" fillId="7" borderId="3" xfId="0" applyFont="1" applyFill="1" applyBorder="1" applyAlignment="1" applyProtection="1">
      <alignment horizontal="right" vertical="center" readingOrder="2"/>
      <protection hidden="1"/>
    </xf>
    <xf numFmtId="164" fontId="7" fillId="7" borderId="14" xfId="4" applyNumberFormat="1" applyFont="1" applyFill="1" applyBorder="1" applyAlignment="1" applyProtection="1">
      <alignment vertical="center" readingOrder="2"/>
      <protection hidden="1"/>
    </xf>
    <xf numFmtId="164" fontId="7" fillId="7" borderId="12" xfId="4" applyNumberFormat="1" applyFont="1" applyFill="1" applyBorder="1" applyAlignment="1" applyProtection="1">
      <alignment vertical="center" readingOrder="2"/>
      <protection hidden="1"/>
    </xf>
    <xf numFmtId="164" fontId="7" fillId="7" borderId="9" xfId="4" applyNumberFormat="1" applyFont="1" applyFill="1" applyBorder="1" applyAlignment="1" applyProtection="1">
      <alignment vertical="center" readingOrder="2"/>
      <protection hidden="1"/>
    </xf>
    <xf numFmtId="164" fontId="7" fillId="7" borderId="22" xfId="4" applyNumberFormat="1" applyFont="1" applyFill="1" applyBorder="1" applyAlignment="1" applyProtection="1">
      <alignment vertical="center" readingOrder="2"/>
      <protection hidden="1"/>
    </xf>
    <xf numFmtId="164" fontId="7" fillId="7" borderId="32" xfId="4" applyNumberFormat="1" applyFont="1" applyFill="1" applyBorder="1" applyAlignment="1" applyProtection="1">
      <alignment vertical="center" readingOrder="2"/>
      <protection hidden="1"/>
    </xf>
    <xf numFmtId="0" fontId="28" fillId="8" borderId="19" xfId="0" applyFont="1" applyFill="1" applyBorder="1" applyAlignment="1" applyProtection="1">
      <alignment horizontal="center" vertical="center" wrapText="1" readingOrder="2"/>
      <protection hidden="1"/>
    </xf>
    <xf numFmtId="0" fontId="7" fillId="8" borderId="9" xfId="0" applyFont="1" applyFill="1" applyBorder="1" applyAlignment="1" applyProtection="1">
      <alignment horizontal="center" vertical="center" wrapText="1" readingOrder="2"/>
      <protection hidden="1"/>
    </xf>
    <xf numFmtId="0" fontId="7" fillId="8" borderId="10" xfId="0" applyFont="1" applyFill="1" applyBorder="1" applyAlignment="1" applyProtection="1">
      <alignment horizontal="center" vertical="center" wrapText="1" readingOrder="2"/>
      <protection hidden="1"/>
    </xf>
    <xf numFmtId="0" fontId="7" fillId="8" borderId="7" xfId="0" applyFont="1" applyFill="1" applyBorder="1" applyAlignment="1" applyProtection="1">
      <alignment horizontal="center" vertical="center" wrapText="1" readingOrder="2"/>
      <protection hidden="1"/>
    </xf>
    <xf numFmtId="0" fontId="13" fillId="7" borderId="3" xfId="0" applyFont="1" applyFill="1" applyBorder="1" applyAlignment="1" applyProtection="1">
      <alignment vertical="center" wrapText="1" readingOrder="2"/>
      <protection hidden="1"/>
    </xf>
    <xf numFmtId="0" fontId="13" fillId="7" borderId="33" xfId="0" applyFont="1" applyFill="1" applyBorder="1" applyAlignment="1" applyProtection="1">
      <alignment vertical="center" wrapText="1" readingOrder="2"/>
      <protection hidden="1"/>
    </xf>
    <xf numFmtId="164" fontId="13" fillId="10" borderId="14" xfId="4" applyNumberFormat="1" applyFont="1" applyFill="1" applyBorder="1" applyAlignment="1" applyProtection="1">
      <alignment horizontal="center" vertical="center" readingOrder="2"/>
      <protection hidden="1"/>
    </xf>
    <xf numFmtId="164" fontId="13" fillId="9" borderId="14" xfId="4" applyNumberFormat="1" applyFont="1" applyFill="1" applyBorder="1" applyAlignment="1" applyProtection="1">
      <alignment horizontal="center" vertical="center" wrapText="1" readingOrder="2"/>
      <protection hidden="1"/>
    </xf>
    <xf numFmtId="9" fontId="14" fillId="9" borderId="12" xfId="1" applyFont="1" applyFill="1" applyBorder="1" applyAlignment="1" applyProtection="1">
      <alignment horizontal="center" vertical="center" wrapText="1" readingOrder="2"/>
      <protection hidden="1"/>
    </xf>
    <xf numFmtId="43" fontId="13" fillId="9" borderId="22" xfId="4" applyFont="1" applyFill="1" applyBorder="1" applyAlignment="1" applyProtection="1">
      <alignment horizontal="center" vertical="center" wrapText="1" readingOrder="2"/>
      <protection hidden="1"/>
    </xf>
    <xf numFmtId="164" fontId="13" fillId="9" borderId="22" xfId="4" applyNumberFormat="1" applyFont="1" applyFill="1" applyBorder="1" applyAlignment="1" applyProtection="1">
      <alignment horizontal="center" vertical="center" wrapText="1" readingOrder="2"/>
      <protection hidden="1"/>
    </xf>
    <xf numFmtId="0" fontId="7" fillId="8" borderId="0" xfId="0" applyFont="1" applyFill="1" applyBorder="1" applyAlignment="1" applyProtection="1">
      <alignment vertical="center" wrapText="1" readingOrder="2"/>
      <protection hidden="1"/>
    </xf>
    <xf numFmtId="0" fontId="7" fillId="8" borderId="3" xfId="0" applyFont="1" applyFill="1" applyBorder="1" applyAlignment="1" applyProtection="1">
      <alignment vertical="center" readingOrder="2"/>
      <protection hidden="1"/>
    </xf>
    <xf numFmtId="0" fontId="7" fillId="8" borderId="31" xfId="0" applyFont="1" applyFill="1" applyBorder="1" applyAlignment="1" applyProtection="1">
      <alignment vertical="center" readingOrder="2"/>
      <protection hidden="1"/>
    </xf>
    <xf numFmtId="0" fontId="6" fillId="8" borderId="31" xfId="0" applyFont="1" applyFill="1" applyBorder="1" applyAlignment="1" applyProtection="1">
      <alignment vertical="center" readingOrder="2"/>
      <protection hidden="1"/>
    </xf>
    <xf numFmtId="0" fontId="6" fillId="8" borderId="32" xfId="0" applyFont="1" applyFill="1" applyBorder="1" applyAlignment="1" applyProtection="1">
      <alignment vertical="center" readingOrder="2"/>
      <protection hidden="1"/>
    </xf>
    <xf numFmtId="0" fontId="6" fillId="8" borderId="39" xfId="0" applyFont="1" applyFill="1" applyBorder="1" applyAlignment="1" applyProtection="1">
      <alignment vertical="center" wrapText="1" readingOrder="2"/>
      <protection hidden="1"/>
    </xf>
    <xf numFmtId="0" fontId="7" fillId="8" borderId="15" xfId="0" applyFont="1" applyFill="1" applyBorder="1" applyAlignment="1" applyProtection="1">
      <alignment vertical="center" readingOrder="2"/>
      <protection hidden="1"/>
    </xf>
    <xf numFmtId="0" fontId="6" fillId="8" borderId="39" xfId="0" applyFont="1" applyFill="1" applyBorder="1" applyAlignment="1" applyProtection="1">
      <alignment vertical="center" readingOrder="2"/>
      <protection hidden="1"/>
    </xf>
    <xf numFmtId="0" fontId="6" fillId="8" borderId="38" xfId="0" applyFont="1" applyFill="1" applyBorder="1" applyAlignment="1" applyProtection="1">
      <alignment vertical="center" readingOrder="2"/>
      <protection hidden="1"/>
    </xf>
    <xf numFmtId="0" fontId="7" fillId="7" borderId="15" xfId="0" applyFont="1" applyFill="1" applyBorder="1" applyAlignment="1" applyProtection="1">
      <alignment vertical="center" wrapText="1" readingOrder="2"/>
      <protection hidden="1"/>
    </xf>
    <xf numFmtId="0" fontId="7" fillId="7" borderId="33" xfId="0" applyFont="1" applyFill="1" applyBorder="1" applyAlignment="1" applyProtection="1">
      <alignment vertical="center" wrapText="1" readingOrder="2"/>
      <protection hidden="1"/>
    </xf>
    <xf numFmtId="164" fontId="9" fillId="10" borderId="37" xfId="4" applyNumberFormat="1" applyFont="1" applyFill="1" applyBorder="1" applyAlignment="1" applyProtection="1">
      <alignment horizontal="center" vertical="center" readingOrder="2"/>
      <protection hidden="1"/>
    </xf>
    <xf numFmtId="0" fontId="7" fillId="7" borderId="6" xfId="0" applyFont="1" applyFill="1" applyBorder="1" applyAlignment="1" applyProtection="1">
      <alignment vertical="center" wrapText="1" readingOrder="2"/>
      <protection hidden="1"/>
    </xf>
    <xf numFmtId="164" fontId="9" fillId="10" borderId="9" xfId="4" applyNumberFormat="1" applyFont="1" applyFill="1" applyBorder="1" applyAlignment="1" applyProtection="1">
      <alignment horizontal="center" vertical="center" readingOrder="2"/>
      <protection hidden="1"/>
    </xf>
    <xf numFmtId="0" fontId="7" fillId="7" borderId="29" xfId="0" applyFont="1" applyFill="1" applyBorder="1" applyAlignment="1" applyProtection="1">
      <alignment horizontal="right" vertical="center" wrapText="1" readingOrder="2"/>
      <protection hidden="1"/>
    </xf>
    <xf numFmtId="0" fontId="8" fillId="7" borderId="35" xfId="0" applyFont="1" applyFill="1" applyBorder="1" applyAlignment="1" applyProtection="1">
      <alignment horizontal="right" vertical="center" wrapText="1" readingOrder="2"/>
      <protection hidden="1"/>
    </xf>
    <xf numFmtId="164" fontId="9" fillId="10" borderId="26" xfId="4" applyNumberFormat="1" applyFont="1" applyFill="1" applyBorder="1" applyAlignment="1" applyProtection="1">
      <alignment horizontal="center" vertical="center" readingOrder="2"/>
      <protection hidden="1"/>
    </xf>
    <xf numFmtId="0" fontId="6" fillId="11" borderId="0" xfId="0" applyFont="1" applyFill="1" applyBorder="1" applyAlignment="1" applyProtection="1">
      <alignment vertical="center" readingOrder="2"/>
      <protection hidden="1"/>
    </xf>
    <xf numFmtId="0" fontId="0" fillId="13" borderId="4" xfId="0" applyFill="1" applyBorder="1" applyProtection="1">
      <protection hidden="1"/>
    </xf>
    <xf numFmtId="0" fontId="6" fillId="13" borderId="0" xfId="0" applyFont="1" applyFill="1" applyBorder="1" applyAlignment="1" applyProtection="1">
      <alignment vertical="center" readingOrder="2"/>
      <protection hidden="1"/>
    </xf>
    <xf numFmtId="0" fontId="17" fillId="7" borderId="1" xfId="0" applyFont="1" applyFill="1" applyBorder="1" applyAlignment="1" applyProtection="1">
      <alignment horizontal="center" vertical="center" wrapText="1" readingOrder="2"/>
      <protection hidden="1"/>
    </xf>
    <xf numFmtId="0" fontId="17" fillId="7" borderId="36" xfId="0" applyFont="1" applyFill="1" applyBorder="1" applyAlignment="1" applyProtection="1">
      <alignment horizontal="center" vertical="center" wrapText="1" readingOrder="2"/>
      <protection hidden="1"/>
    </xf>
    <xf numFmtId="0" fontId="20" fillId="7" borderId="2" xfId="0" applyFont="1" applyFill="1" applyBorder="1" applyAlignment="1" applyProtection="1">
      <alignment horizontal="center" vertical="center" wrapText="1" readingOrder="2"/>
      <protection hidden="1"/>
    </xf>
    <xf numFmtId="0" fontId="17" fillId="7" borderId="2" xfId="0" applyFont="1" applyFill="1" applyBorder="1" applyAlignment="1" applyProtection="1">
      <alignment horizontal="center" vertical="center" wrapText="1" readingOrder="2"/>
      <protection hidden="1"/>
    </xf>
    <xf numFmtId="0" fontId="17" fillId="7" borderId="13" xfId="0" applyFont="1" applyFill="1" applyBorder="1" applyAlignment="1" applyProtection="1">
      <alignment horizontal="center" vertical="center" wrapText="1" readingOrder="2"/>
      <protection hidden="1"/>
    </xf>
    <xf numFmtId="9" fontId="18" fillId="10" borderId="8" xfId="1" applyFont="1" applyFill="1" applyBorder="1" applyAlignment="1" applyProtection="1">
      <alignment horizontal="center" vertical="center" readingOrder="1"/>
      <protection hidden="1"/>
    </xf>
    <xf numFmtId="9" fontId="18" fillId="10" borderId="10" xfId="1" applyFont="1" applyFill="1" applyBorder="1" applyAlignment="1" applyProtection="1">
      <alignment horizontal="center" vertical="center" readingOrder="1"/>
      <protection hidden="1"/>
    </xf>
    <xf numFmtId="0" fontId="17" fillId="7" borderId="26" xfId="0" applyFont="1" applyFill="1" applyBorder="1" applyAlignment="1" applyProtection="1">
      <alignment vertical="center" readingOrder="2"/>
      <protection hidden="1"/>
    </xf>
    <xf numFmtId="14" fontId="17" fillId="7" borderId="23" xfId="0" applyNumberFormat="1" applyFont="1" applyFill="1" applyBorder="1" applyAlignment="1" applyProtection="1">
      <alignment vertical="center" readingOrder="2"/>
      <protection hidden="1"/>
    </xf>
    <xf numFmtId="0" fontId="17" fillId="7" borderId="40" xfId="0" applyFont="1" applyFill="1" applyBorder="1" applyAlignment="1" applyProtection="1">
      <alignment vertical="center" readingOrder="2"/>
      <protection hidden="1"/>
    </xf>
    <xf numFmtId="0" fontId="17" fillId="7" borderId="17" xfId="0" applyFont="1" applyFill="1" applyBorder="1" applyAlignment="1" applyProtection="1">
      <alignment vertical="center" readingOrder="2"/>
      <protection hidden="1"/>
    </xf>
    <xf numFmtId="9" fontId="18" fillId="7" borderId="24" xfId="1" applyFont="1" applyFill="1" applyBorder="1" applyAlignment="1" applyProtection="1">
      <alignment horizontal="center" vertical="center" readingOrder="1"/>
      <protection hidden="1"/>
    </xf>
    <xf numFmtId="0" fontId="18" fillId="7" borderId="24" xfId="0" applyFont="1" applyFill="1" applyBorder="1" applyAlignment="1" applyProtection="1">
      <alignment horizontal="center" vertical="center" readingOrder="1"/>
      <protection hidden="1"/>
    </xf>
    <xf numFmtId="0" fontId="18" fillId="7" borderId="24" xfId="0" applyFont="1" applyFill="1" applyBorder="1" applyAlignment="1" applyProtection="1">
      <alignment horizontal="left" vertical="center" readingOrder="1"/>
      <protection hidden="1"/>
    </xf>
    <xf numFmtId="0" fontId="18" fillId="7" borderId="23" xfId="0" applyFont="1" applyFill="1" applyBorder="1" applyAlignment="1" applyProtection="1">
      <alignment horizontal="center" vertical="center" readingOrder="1"/>
      <protection hidden="1"/>
    </xf>
    <xf numFmtId="9" fontId="18" fillId="7" borderId="27" xfId="1" applyFont="1" applyFill="1" applyBorder="1" applyAlignment="1" applyProtection="1">
      <alignment horizontal="right" vertical="center" readingOrder="1"/>
      <protection hidden="1"/>
    </xf>
    <xf numFmtId="0" fontId="23" fillId="11" borderId="0" xfId="0" applyFont="1" applyFill="1" applyProtection="1">
      <protection hidden="1"/>
    </xf>
    <xf numFmtId="0" fontId="7" fillId="7" borderId="1" xfId="0" applyFont="1" applyFill="1" applyBorder="1" applyAlignment="1" applyProtection="1">
      <alignment horizontal="center" vertical="center" wrapText="1" readingOrder="2"/>
      <protection hidden="1"/>
    </xf>
    <xf numFmtId="0" fontId="24" fillId="7" borderId="9" xfId="0" applyFont="1" applyFill="1" applyBorder="1" applyAlignment="1" applyProtection="1">
      <alignment horizontal="center" vertical="center" wrapText="1" readingOrder="2"/>
      <protection hidden="1"/>
    </xf>
    <xf numFmtId="0" fontId="29" fillId="7" borderId="26" xfId="0" applyFont="1" applyFill="1" applyBorder="1" applyAlignment="1" applyProtection="1">
      <alignment horizontal="center" vertical="center" wrapText="1" readingOrder="2"/>
      <protection hidden="1"/>
    </xf>
    <xf numFmtId="0" fontId="7" fillId="7" borderId="46" xfId="0" applyFont="1" applyFill="1" applyBorder="1" applyAlignment="1" applyProtection="1">
      <alignment horizontal="right" vertical="center" wrapText="1" readingOrder="2"/>
      <protection hidden="1"/>
    </xf>
    <xf numFmtId="0" fontId="0" fillId="3" borderId="0" xfId="0" applyFill="1" applyBorder="1" applyAlignment="1" applyProtection="1">
      <protection hidden="1"/>
    </xf>
    <xf numFmtId="0" fontId="0" fillId="3" borderId="5" xfId="0" applyFill="1" applyBorder="1" applyAlignment="1" applyProtection="1">
      <protection hidden="1"/>
    </xf>
    <xf numFmtId="0" fontId="6" fillId="7" borderId="1" xfId="0" applyFont="1" applyFill="1" applyBorder="1" applyAlignment="1" applyProtection="1">
      <alignment vertical="center" readingOrder="2"/>
      <protection hidden="1"/>
    </xf>
    <xf numFmtId="164" fontId="7" fillId="0" borderId="9" xfId="4" applyNumberFormat="1" applyFont="1" applyFill="1" applyBorder="1" applyAlignment="1" applyProtection="1">
      <alignment vertical="center" readingOrder="2"/>
      <protection locked="0" hidden="1"/>
    </xf>
    <xf numFmtId="164" fontId="7" fillId="0" borderId="10" xfId="4" applyNumberFormat="1" applyFont="1" applyFill="1" applyBorder="1" applyAlignment="1" applyProtection="1">
      <alignment horizontal="right" vertical="center" wrapText="1" readingOrder="2"/>
      <protection locked="0" hidden="1"/>
    </xf>
    <xf numFmtId="164" fontId="7" fillId="0" borderId="9" xfId="4" applyNumberFormat="1" applyFont="1" applyFill="1" applyBorder="1" applyAlignment="1" applyProtection="1">
      <alignment vertical="center" wrapText="1" readingOrder="2"/>
      <protection locked="0" hidden="1"/>
    </xf>
    <xf numFmtId="164" fontId="7" fillId="0" borderId="10" xfId="4" applyNumberFormat="1" applyFont="1" applyFill="1" applyBorder="1" applyAlignment="1" applyProtection="1">
      <alignment vertical="center" wrapText="1" readingOrder="2"/>
      <protection locked="0" hidden="1"/>
    </xf>
    <xf numFmtId="164" fontId="18" fillId="0" borderId="8" xfId="4" applyNumberFormat="1" applyFont="1" applyFill="1" applyBorder="1" applyAlignment="1" applyProtection="1">
      <alignment horizontal="center" vertical="center" readingOrder="1"/>
      <protection locked="0" hidden="1"/>
    </xf>
    <xf numFmtId="0" fontId="0" fillId="0" borderId="9" xfId="0" applyFill="1" applyBorder="1" applyProtection="1">
      <protection locked="0" hidden="1"/>
    </xf>
    <xf numFmtId="14" fontId="0" fillId="0" borderId="8" xfId="0" applyNumberFormat="1" applyFill="1" applyBorder="1" applyProtection="1">
      <protection locked="0" hidden="1"/>
    </xf>
    <xf numFmtId="0" fontId="18" fillId="0" borderId="8" xfId="0" applyFont="1" applyFill="1" applyBorder="1" applyAlignment="1" applyProtection="1">
      <alignment horizontal="center" vertical="center" readingOrder="1"/>
      <protection locked="0" hidden="1"/>
    </xf>
    <xf numFmtId="0" fontId="21" fillId="0" borderId="8" xfId="0" applyFont="1" applyFill="1" applyBorder="1" applyAlignment="1" applyProtection="1">
      <alignment horizontal="center" vertical="center" readingOrder="1"/>
      <protection locked="0" hidden="1"/>
    </xf>
    <xf numFmtId="0" fontId="21" fillId="0" borderId="11" xfId="0" applyFont="1" applyFill="1" applyBorder="1" applyAlignment="1" applyProtection="1">
      <alignment horizontal="center" vertical="center" readingOrder="1"/>
      <protection locked="0" hidden="1"/>
    </xf>
    <xf numFmtId="0" fontId="0" fillId="0" borderId="8" xfId="0" applyFill="1" applyBorder="1" applyProtection="1">
      <protection locked="0" hidden="1"/>
    </xf>
    <xf numFmtId="0" fontId="7" fillId="8" borderId="3" xfId="0" applyFont="1" applyFill="1" applyBorder="1" applyAlignment="1" applyProtection="1">
      <alignment vertical="center" wrapText="1" readingOrder="2"/>
      <protection hidden="1"/>
    </xf>
    <xf numFmtId="0" fontId="6" fillId="8" borderId="15" xfId="0" applyFont="1" applyFill="1" applyBorder="1" applyAlignment="1" applyProtection="1">
      <alignment vertical="center" wrapText="1" readingOrder="2"/>
      <protection hidden="1"/>
    </xf>
    <xf numFmtId="0" fontId="6" fillId="10" borderId="15" xfId="0" applyFont="1" applyFill="1" applyBorder="1" applyAlignment="1" applyProtection="1">
      <alignment vertical="center" readingOrder="2"/>
      <protection hidden="1"/>
    </xf>
    <xf numFmtId="0" fontId="6" fillId="10" borderId="39" xfId="0" applyFont="1" applyFill="1" applyBorder="1" applyAlignment="1" applyProtection="1">
      <alignment vertical="center" readingOrder="2"/>
      <protection hidden="1"/>
    </xf>
    <xf numFmtId="0" fontId="0" fillId="10" borderId="43" xfId="0" applyFill="1" applyBorder="1" applyProtection="1">
      <protection hidden="1"/>
    </xf>
    <xf numFmtId="0" fontId="0" fillId="10" borderId="45" xfId="0" applyFill="1" applyBorder="1" applyProtection="1">
      <protection hidden="1"/>
    </xf>
    <xf numFmtId="0" fontId="0" fillId="13" borderId="5" xfId="0" applyFill="1" applyBorder="1" applyProtection="1">
      <protection hidden="1"/>
    </xf>
    <xf numFmtId="0" fontId="7" fillId="7" borderId="9" xfId="0" applyFont="1" applyFill="1" applyBorder="1" applyAlignment="1" applyProtection="1">
      <alignment vertical="center" wrapText="1" readingOrder="2"/>
      <protection hidden="1"/>
    </xf>
    <xf numFmtId="0" fontId="7" fillId="7" borderId="16" xfId="0" applyFont="1" applyFill="1" applyBorder="1" applyAlignment="1" applyProtection="1">
      <alignment vertical="center" wrapText="1" readingOrder="2"/>
      <protection hidden="1"/>
    </xf>
    <xf numFmtId="0" fontId="17" fillId="11" borderId="2" xfId="0" applyFont="1" applyFill="1" applyBorder="1" applyAlignment="1" applyProtection="1">
      <alignment horizontal="center" vertical="center" wrapText="1" readingOrder="2"/>
      <protection hidden="1"/>
    </xf>
    <xf numFmtId="164" fontId="18" fillId="11" borderId="8" xfId="4" applyNumberFormat="1" applyFont="1" applyFill="1" applyBorder="1" applyAlignment="1" applyProtection="1">
      <alignment horizontal="center" vertical="center" readingOrder="1"/>
      <protection hidden="1"/>
    </xf>
    <xf numFmtId="0" fontId="18" fillId="11" borderId="24" xfId="0" applyFont="1" applyFill="1" applyBorder="1" applyAlignment="1" applyProtection="1">
      <alignment horizontal="center" vertical="center" readingOrder="1"/>
      <protection hidden="1"/>
    </xf>
    <xf numFmtId="0" fontId="18" fillId="11" borderId="23" xfId="0" applyFont="1" applyFill="1" applyBorder="1" applyAlignment="1" applyProtection="1">
      <alignment horizontal="center" vertical="center" readingOrder="1"/>
      <protection hidden="1"/>
    </xf>
    <xf numFmtId="0" fontId="0" fillId="11" borderId="4" xfId="0" applyFill="1" applyBorder="1" applyProtection="1">
      <protection hidden="1"/>
    </xf>
    <xf numFmtId="0" fontId="7" fillId="11" borderId="26" xfId="0" applyFont="1" applyFill="1" applyBorder="1" applyAlignment="1" applyProtection="1">
      <alignment horizontal="center" vertical="center" wrapText="1" readingOrder="2"/>
      <protection hidden="1"/>
    </xf>
    <xf numFmtId="0" fontId="0" fillId="3" borderId="9" xfId="0" applyFill="1" applyBorder="1" applyAlignment="1" applyProtection="1">
      <alignment vertical="center"/>
      <protection hidden="1"/>
    </xf>
    <xf numFmtId="0" fontId="32" fillId="0" borderId="0" xfId="0" applyFont="1" applyAlignment="1">
      <alignment horizontal="justify" vertical="center" readingOrder="2"/>
    </xf>
    <xf numFmtId="0" fontId="0" fillId="0" borderId="0" xfId="0" applyAlignment="1">
      <alignment readingOrder="2"/>
    </xf>
    <xf numFmtId="0" fontId="7" fillId="7" borderId="2" xfId="0" applyFont="1" applyFill="1" applyBorder="1" applyAlignment="1" applyProtection="1">
      <alignment horizontal="center" vertical="center" wrapText="1" readingOrder="2"/>
      <protection hidden="1"/>
    </xf>
    <xf numFmtId="0" fontId="7" fillId="7" borderId="13" xfId="0" applyFont="1" applyFill="1" applyBorder="1" applyAlignment="1" applyProtection="1">
      <alignment horizontal="center" vertical="center" wrapText="1" readingOrder="2"/>
      <protection hidden="1"/>
    </xf>
    <xf numFmtId="1" fontId="16" fillId="10" borderId="25" xfId="1" applyNumberFormat="1" applyFont="1" applyFill="1" applyBorder="1" applyAlignment="1" applyProtection="1">
      <alignment horizontal="center" vertical="center" wrapText="1" readingOrder="2"/>
      <protection hidden="1"/>
    </xf>
    <xf numFmtId="1" fontId="16" fillId="10" borderId="23" xfId="1" applyNumberFormat="1" applyFont="1" applyFill="1" applyBorder="1" applyAlignment="1" applyProtection="1">
      <alignment horizontal="center" vertical="center" wrapText="1" readingOrder="2"/>
      <protection hidden="1"/>
    </xf>
    <xf numFmtId="2" fontId="4" fillId="11" borderId="19" xfId="0" applyNumberFormat="1" applyFont="1" applyFill="1" applyBorder="1" applyAlignment="1" applyProtection="1">
      <alignment horizontal="center" vertical="center" wrapText="1"/>
      <protection hidden="1"/>
    </xf>
    <xf numFmtId="2" fontId="4" fillId="11" borderId="28" xfId="0" applyNumberFormat="1" applyFont="1" applyFill="1" applyBorder="1" applyAlignment="1" applyProtection="1">
      <alignment horizontal="center" vertical="center" wrapText="1"/>
      <protection hidden="1"/>
    </xf>
    <xf numFmtId="2" fontId="4" fillId="11" borderId="16" xfId="0" applyNumberFormat="1" applyFont="1" applyFill="1" applyBorder="1" applyAlignment="1" applyProtection="1">
      <alignment horizontal="center" vertical="center" wrapText="1"/>
      <protection hidden="1"/>
    </xf>
    <xf numFmtId="2" fontId="4" fillId="11" borderId="47" xfId="0" applyNumberFormat="1" applyFont="1" applyFill="1" applyBorder="1" applyAlignment="1" applyProtection="1">
      <alignment horizontal="center" vertical="center" wrapText="1"/>
      <protection hidden="1"/>
    </xf>
    <xf numFmtId="164" fontId="7" fillId="11" borderId="8" xfId="4" applyNumberFormat="1" applyFont="1" applyFill="1" applyBorder="1" applyAlignment="1" applyProtection="1">
      <alignment horizontal="center" wrapText="1" readingOrder="2"/>
      <protection hidden="1"/>
    </xf>
    <xf numFmtId="9" fontId="7" fillId="11" borderId="24" xfId="1" applyFont="1" applyFill="1" applyBorder="1" applyAlignment="1" applyProtection="1">
      <alignment horizontal="center" wrapText="1" readingOrder="2"/>
      <protection hidden="1"/>
    </xf>
    <xf numFmtId="9" fontId="7" fillId="11" borderId="8" xfId="1" applyFont="1" applyFill="1" applyBorder="1" applyAlignment="1" applyProtection="1">
      <alignment horizontal="center" wrapText="1" readingOrder="2"/>
      <protection hidden="1"/>
    </xf>
    <xf numFmtId="164" fontId="7" fillId="11" borderId="8" xfId="4" applyNumberFormat="1" applyFont="1" applyFill="1" applyBorder="1" applyAlignment="1" applyProtection="1">
      <alignment horizontal="center" vertical="center" wrapText="1" readingOrder="2"/>
      <protection hidden="1"/>
    </xf>
    <xf numFmtId="0" fontId="5" fillId="7" borderId="2" xfId="0" applyFont="1" applyFill="1" applyBorder="1" applyAlignment="1" applyProtection="1">
      <alignment horizontal="center" vertical="center" wrapText="1" readingOrder="2"/>
      <protection hidden="1"/>
    </xf>
    <xf numFmtId="0" fontId="5" fillId="7" borderId="8" xfId="0" applyFont="1" applyFill="1" applyBorder="1" applyAlignment="1" applyProtection="1">
      <alignment horizontal="center" vertical="center" wrapText="1" readingOrder="2"/>
      <protection hidden="1"/>
    </xf>
    <xf numFmtId="0" fontId="5" fillId="4" borderId="51" xfId="0" applyFont="1" applyFill="1" applyBorder="1" applyAlignment="1" applyProtection="1">
      <alignment horizontal="center" vertical="center" wrapText="1" readingOrder="2"/>
      <protection locked="0"/>
    </xf>
    <xf numFmtId="0" fontId="5" fillId="4" borderId="7" xfId="0" applyFont="1" applyFill="1" applyBorder="1" applyAlignment="1" applyProtection="1">
      <alignment horizontal="center" vertical="center" wrapText="1" readingOrder="2"/>
      <protection locked="0"/>
    </xf>
    <xf numFmtId="9" fontId="7" fillId="0" borderId="8" xfId="1" applyFont="1" applyFill="1" applyBorder="1" applyAlignment="1" applyProtection="1">
      <alignment horizontal="center" vertical="center" wrapText="1" readingOrder="2"/>
      <protection locked="0" hidden="1"/>
    </xf>
    <xf numFmtId="0" fontId="7" fillId="11" borderId="8" xfId="0" applyFont="1" applyFill="1" applyBorder="1" applyAlignment="1" applyProtection="1">
      <alignment horizontal="center" vertical="center" wrapText="1" readingOrder="2"/>
      <protection hidden="1"/>
    </xf>
    <xf numFmtId="0" fontId="0" fillId="11" borderId="0" xfId="0" applyFill="1" applyBorder="1" applyAlignment="1" applyProtection="1">
      <alignment horizontal="center"/>
      <protection hidden="1"/>
    </xf>
    <xf numFmtId="0" fontId="16" fillId="10" borderId="24" xfId="2" applyFont="1" applyFill="1" applyBorder="1" applyAlignment="1" applyProtection="1">
      <alignment horizontal="center" vertical="center" wrapText="1" readingOrder="2"/>
      <protection hidden="1"/>
    </xf>
    <xf numFmtId="9" fontId="16" fillId="10" borderId="25" xfId="1" applyFont="1" applyFill="1" applyBorder="1" applyAlignment="1" applyProtection="1">
      <alignment horizontal="center" vertical="center" wrapText="1" readingOrder="2"/>
      <protection hidden="1"/>
    </xf>
    <xf numFmtId="9" fontId="16" fillId="10" borderId="23" xfId="1" applyFont="1" applyFill="1" applyBorder="1" applyAlignment="1" applyProtection="1">
      <alignment horizontal="center" vertical="center" wrapText="1" readingOrder="2"/>
      <protection hidden="1"/>
    </xf>
    <xf numFmtId="164" fontId="15" fillId="10" borderId="29" xfId="4" applyNumberFormat="1" applyFont="1" applyFill="1" applyBorder="1" applyAlignment="1" applyProtection="1">
      <alignment horizontal="center" readingOrder="2"/>
      <protection hidden="1"/>
    </xf>
    <xf numFmtId="164" fontId="15" fillId="10" borderId="35" xfId="4" applyNumberFormat="1" applyFont="1" applyFill="1" applyBorder="1" applyAlignment="1" applyProtection="1">
      <alignment horizontal="center" readingOrder="2"/>
      <protection hidden="1"/>
    </xf>
    <xf numFmtId="164" fontId="5" fillId="0" borderId="8" xfId="4" applyNumberFormat="1" applyFont="1" applyFill="1" applyBorder="1" applyAlignment="1" applyProtection="1">
      <alignment horizontal="center" vertical="center" wrapText="1" readingOrder="2"/>
      <protection locked="0" hidden="1"/>
    </xf>
    <xf numFmtId="9" fontId="16" fillId="10" borderId="8" xfId="1" applyFont="1" applyFill="1" applyBorder="1" applyAlignment="1" applyProtection="1">
      <alignment horizontal="center" vertical="center" wrapText="1" readingOrder="2"/>
      <protection hidden="1"/>
    </xf>
    <xf numFmtId="164" fontId="7" fillId="10" borderId="8" xfId="4" applyNumberFormat="1" applyFont="1" applyFill="1" applyBorder="1" applyAlignment="1" applyProtection="1">
      <alignment horizontal="center" vertical="center" wrapText="1" readingOrder="2"/>
      <protection hidden="1"/>
    </xf>
    <xf numFmtId="164" fontId="5" fillId="0" borderId="24" xfId="4" applyNumberFormat="1" applyFont="1" applyFill="1" applyBorder="1" applyAlignment="1" applyProtection="1">
      <alignment horizontal="center" vertical="center" wrapText="1" readingOrder="2"/>
      <protection locked="0" hidden="1"/>
    </xf>
    <xf numFmtId="164" fontId="9" fillId="10" borderId="15" xfId="4" applyNumberFormat="1" applyFont="1" applyFill="1" applyBorder="1" applyAlignment="1" applyProtection="1">
      <alignment horizontal="center" vertical="center" readingOrder="2"/>
      <protection hidden="1"/>
    </xf>
    <xf numFmtId="164" fontId="9" fillId="10" borderId="38" xfId="4" applyNumberFormat="1" applyFont="1" applyFill="1" applyBorder="1" applyAlignment="1" applyProtection="1">
      <alignment horizontal="center" vertical="center" readingOrder="2"/>
      <protection hidden="1"/>
    </xf>
    <xf numFmtId="0" fontId="27" fillId="7" borderId="1" xfId="0" applyFont="1" applyFill="1" applyBorder="1" applyAlignment="1" applyProtection="1">
      <alignment horizontal="center" vertical="center" wrapText="1" readingOrder="2"/>
      <protection hidden="1"/>
    </xf>
    <xf numFmtId="0" fontId="27" fillId="7" borderId="13" xfId="0" applyFont="1" applyFill="1" applyBorder="1" applyAlignment="1" applyProtection="1">
      <alignment horizontal="center" vertical="center" wrapText="1" readingOrder="2"/>
      <protection hidden="1"/>
    </xf>
    <xf numFmtId="0" fontId="6" fillId="10" borderId="18" xfId="0" applyFont="1" applyFill="1" applyBorder="1" applyAlignment="1" applyProtection="1">
      <alignment horizontal="center" vertical="center" readingOrder="2"/>
      <protection hidden="1"/>
    </xf>
    <xf numFmtId="0" fontId="7" fillId="7" borderId="8" xfId="0" applyFont="1" applyFill="1" applyBorder="1" applyAlignment="1" applyProtection="1">
      <alignment horizontal="center" vertical="center" wrapText="1" readingOrder="2"/>
      <protection hidden="1"/>
    </xf>
    <xf numFmtId="164" fontId="9" fillId="10" borderId="6" xfId="4" applyNumberFormat="1" applyFont="1" applyFill="1" applyBorder="1" applyAlignment="1" applyProtection="1">
      <alignment horizontal="center" vertical="center" readingOrder="2"/>
      <protection hidden="1"/>
    </xf>
    <xf numFmtId="164" fontId="9" fillId="10" borderId="34" xfId="4" applyNumberFormat="1" applyFont="1" applyFill="1" applyBorder="1" applyAlignment="1" applyProtection="1">
      <alignment horizontal="center" vertical="center" readingOrder="2"/>
      <protection hidden="1"/>
    </xf>
    <xf numFmtId="9" fontId="16" fillId="10" borderId="24" xfId="1" applyFont="1" applyFill="1" applyBorder="1" applyAlignment="1" applyProtection="1">
      <alignment horizontal="center" vertical="center" wrapText="1" readingOrder="2"/>
      <protection hidden="1"/>
    </xf>
    <xf numFmtId="0" fontId="28" fillId="8" borderId="20" xfId="0" applyFont="1" applyFill="1" applyBorder="1" applyAlignment="1" applyProtection="1">
      <alignment horizontal="center" vertical="center" wrapText="1" readingOrder="2"/>
      <protection hidden="1"/>
    </xf>
    <xf numFmtId="0" fontId="28" fillId="8" borderId="21" xfId="0" applyFont="1" applyFill="1" applyBorder="1" applyAlignment="1" applyProtection="1">
      <alignment horizontal="center" vertical="center" wrapText="1" readingOrder="2"/>
      <protection hidden="1"/>
    </xf>
    <xf numFmtId="0" fontId="12" fillId="10" borderId="2" xfId="0" applyFont="1" applyFill="1" applyBorder="1" applyAlignment="1" applyProtection="1">
      <alignment horizontal="center" vertical="center" wrapText="1"/>
      <protection hidden="1"/>
    </xf>
    <xf numFmtId="164" fontId="7" fillId="0" borderId="8" xfId="4" applyNumberFormat="1" applyFont="1" applyFill="1" applyBorder="1" applyAlignment="1" applyProtection="1">
      <alignment horizontal="center" vertical="center" wrapText="1" readingOrder="2"/>
      <protection locked="0" hidden="1"/>
    </xf>
    <xf numFmtId="9" fontId="9" fillId="0" borderId="8" xfId="1" applyFont="1" applyFill="1" applyBorder="1" applyAlignment="1" applyProtection="1">
      <alignment horizontal="center" vertical="center" wrapText="1" readingOrder="2"/>
      <protection locked="0" hidden="1"/>
    </xf>
    <xf numFmtId="9" fontId="10" fillId="0" borderId="8" xfId="1" applyFont="1" applyFill="1" applyBorder="1" applyAlignment="1" applyProtection="1">
      <alignment horizontal="center" vertical="center" readingOrder="2"/>
      <protection locked="0" hidden="1"/>
    </xf>
    <xf numFmtId="0" fontId="16" fillId="10" borderId="8" xfId="2" applyFont="1" applyFill="1" applyBorder="1" applyAlignment="1" applyProtection="1">
      <alignment horizontal="center" vertical="center" wrapText="1" readingOrder="2"/>
      <protection hidden="1"/>
    </xf>
    <xf numFmtId="0" fontId="0" fillId="3" borderId="8" xfId="0" applyFill="1" applyBorder="1" applyAlignment="1" applyProtection="1">
      <alignment horizontal="center" vertical="center" wrapText="1"/>
      <protection hidden="1"/>
    </xf>
    <xf numFmtId="0" fontId="0" fillId="3" borderId="8" xfId="0" applyFill="1" applyBorder="1" applyAlignment="1" applyProtection="1">
      <alignment horizontal="center" vertical="center"/>
      <protection hidden="1"/>
    </xf>
    <xf numFmtId="2" fontId="4" fillId="10" borderId="19" xfId="0" applyNumberFormat="1" applyFont="1" applyFill="1" applyBorder="1" applyAlignment="1" applyProtection="1">
      <alignment horizontal="center" vertical="center" wrapText="1"/>
      <protection hidden="1"/>
    </xf>
    <xf numFmtId="2" fontId="4" fillId="10" borderId="18" xfId="0" applyNumberFormat="1" applyFont="1" applyFill="1" applyBorder="1" applyAlignment="1" applyProtection="1">
      <alignment horizontal="center" vertical="center" wrapText="1"/>
      <protection hidden="1"/>
    </xf>
    <xf numFmtId="2" fontId="4" fillId="10" borderId="28" xfId="0" applyNumberFormat="1" applyFont="1" applyFill="1" applyBorder="1" applyAlignment="1" applyProtection="1">
      <alignment horizontal="center" vertical="center" wrapText="1"/>
      <protection hidden="1"/>
    </xf>
    <xf numFmtId="2" fontId="4" fillId="10" borderId="4" xfId="0" applyNumberFormat="1" applyFont="1" applyFill="1" applyBorder="1" applyAlignment="1" applyProtection="1">
      <alignment horizontal="center" vertical="center" wrapText="1"/>
      <protection hidden="1"/>
    </xf>
    <xf numFmtId="2" fontId="4" fillId="10" borderId="0" xfId="0" applyNumberFormat="1" applyFont="1" applyFill="1" applyBorder="1" applyAlignment="1" applyProtection="1">
      <alignment horizontal="center" vertical="center" wrapText="1"/>
      <protection hidden="1"/>
    </xf>
    <xf numFmtId="2" fontId="4" fillId="10" borderId="5" xfId="0" applyNumberFormat="1" applyFont="1" applyFill="1" applyBorder="1" applyAlignment="1" applyProtection="1">
      <alignment horizontal="center" vertical="center" wrapText="1"/>
      <protection hidden="1"/>
    </xf>
    <xf numFmtId="0" fontId="12" fillId="10" borderId="18" xfId="0" applyFont="1" applyFill="1" applyBorder="1" applyAlignment="1" applyProtection="1">
      <alignment horizontal="center" vertical="center"/>
      <protection hidden="1"/>
    </xf>
    <xf numFmtId="0" fontId="12" fillId="10" borderId="28" xfId="0" applyFont="1" applyFill="1" applyBorder="1" applyAlignment="1" applyProtection="1">
      <alignment horizontal="center" vertical="center"/>
      <protection hidden="1"/>
    </xf>
    <xf numFmtId="0" fontId="7" fillId="7" borderId="10" xfId="0" applyFont="1" applyFill="1" applyBorder="1" applyAlignment="1" applyProtection="1">
      <alignment horizontal="center" vertical="center" wrapText="1" readingOrder="2"/>
      <protection hidden="1"/>
    </xf>
    <xf numFmtId="0" fontId="5" fillId="7" borderId="10" xfId="0" applyFont="1" applyFill="1" applyBorder="1" applyAlignment="1" applyProtection="1">
      <alignment horizontal="center" vertical="center" wrapText="1" readingOrder="2"/>
      <protection hidden="1"/>
    </xf>
    <xf numFmtId="164" fontId="7" fillId="0" borderId="10" xfId="4" applyNumberFormat="1" applyFont="1" applyFill="1" applyBorder="1" applyAlignment="1" applyProtection="1">
      <alignment horizontal="center" vertical="center" wrapText="1" readingOrder="2"/>
      <protection locked="0" hidden="1"/>
    </xf>
    <xf numFmtId="9" fontId="16" fillId="10" borderId="10" xfId="1" applyFont="1" applyFill="1" applyBorder="1" applyAlignment="1" applyProtection="1">
      <alignment horizontal="center" vertical="center" wrapText="1" readingOrder="2"/>
      <protection hidden="1"/>
    </xf>
    <xf numFmtId="164" fontId="7" fillId="11" borderId="10" xfId="4" applyNumberFormat="1" applyFont="1" applyFill="1" applyBorder="1" applyAlignment="1" applyProtection="1">
      <alignment horizontal="center" wrapText="1" readingOrder="2"/>
      <protection hidden="1"/>
    </xf>
    <xf numFmtId="9" fontId="7" fillId="11" borderId="10" xfId="1" applyFont="1" applyFill="1" applyBorder="1" applyAlignment="1" applyProtection="1">
      <alignment horizontal="center" wrapText="1" readingOrder="2"/>
      <protection hidden="1"/>
    </xf>
    <xf numFmtId="164" fontId="7" fillId="10" borderId="10" xfId="4" applyNumberFormat="1" applyFont="1" applyFill="1" applyBorder="1" applyAlignment="1" applyProtection="1">
      <alignment horizontal="center" vertical="center" wrapText="1" readingOrder="2"/>
      <protection hidden="1"/>
    </xf>
    <xf numFmtId="9" fontId="16" fillId="10" borderId="27" xfId="1" applyFont="1" applyFill="1" applyBorder="1" applyAlignment="1" applyProtection="1">
      <alignment horizontal="center" vertical="center" wrapText="1" readingOrder="2"/>
      <protection hidden="1"/>
    </xf>
    <xf numFmtId="0" fontId="7" fillId="11" borderId="10" xfId="0" applyFont="1" applyFill="1" applyBorder="1" applyAlignment="1" applyProtection="1">
      <alignment horizontal="center" vertical="center" wrapText="1" readingOrder="2"/>
      <protection hidden="1"/>
    </xf>
    <xf numFmtId="164" fontId="7" fillId="11" borderId="10" xfId="4" applyNumberFormat="1" applyFont="1" applyFill="1" applyBorder="1" applyAlignment="1" applyProtection="1">
      <alignment horizontal="center" vertical="center" wrapText="1" readingOrder="2"/>
      <protection hidden="1"/>
    </xf>
    <xf numFmtId="164" fontId="7" fillId="0" borderId="29" xfId="4" applyNumberFormat="1" applyFont="1" applyFill="1" applyBorder="1" applyAlignment="1" applyProtection="1">
      <alignment horizontal="center" vertical="center" wrapText="1" readingOrder="2"/>
      <protection locked="0" hidden="1"/>
    </xf>
    <xf numFmtId="164" fontId="7" fillId="0" borderId="30" xfId="4" applyNumberFormat="1" applyFont="1" applyFill="1" applyBorder="1" applyAlignment="1" applyProtection="1">
      <alignment horizontal="center" vertical="center" wrapText="1" readingOrder="2"/>
      <protection locked="0" hidden="1"/>
    </xf>
    <xf numFmtId="164" fontId="7" fillId="0" borderId="35" xfId="4" applyNumberFormat="1" applyFont="1" applyFill="1" applyBorder="1" applyAlignment="1" applyProtection="1">
      <alignment horizontal="center" vertical="center" wrapText="1" readingOrder="2"/>
      <protection locked="0" hidden="1"/>
    </xf>
    <xf numFmtId="0" fontId="0" fillId="3" borderId="48" xfId="0" applyFill="1" applyBorder="1" applyAlignment="1" applyProtection="1">
      <alignment horizontal="right" readingOrder="2"/>
      <protection hidden="1"/>
    </xf>
    <xf numFmtId="0" fontId="0" fillId="3" borderId="49" xfId="0" applyFill="1" applyBorder="1" applyAlignment="1" applyProtection="1">
      <alignment horizontal="right" readingOrder="2"/>
      <protection hidden="1"/>
    </xf>
    <xf numFmtId="0" fontId="0" fillId="3" borderId="50" xfId="0" applyFill="1" applyBorder="1" applyAlignment="1" applyProtection="1">
      <alignment horizontal="right" readingOrder="2"/>
      <protection hidden="1"/>
    </xf>
    <xf numFmtId="2" fontId="4" fillId="5" borderId="19" xfId="0" applyNumberFormat="1" applyFont="1" applyFill="1" applyBorder="1" applyAlignment="1" applyProtection="1">
      <alignment horizontal="center" vertical="center" wrapText="1"/>
      <protection hidden="1"/>
    </xf>
    <xf numFmtId="2" fontId="4" fillId="5" borderId="18" xfId="0" applyNumberFormat="1" applyFont="1" applyFill="1" applyBorder="1" applyAlignment="1" applyProtection="1">
      <alignment horizontal="center" vertical="center" wrapText="1"/>
      <protection hidden="1"/>
    </xf>
    <xf numFmtId="2" fontId="4" fillId="5" borderId="28" xfId="0" applyNumberFormat="1" applyFont="1" applyFill="1" applyBorder="1" applyAlignment="1" applyProtection="1">
      <alignment horizontal="center" vertical="center" wrapText="1"/>
      <protection hidden="1"/>
    </xf>
    <xf numFmtId="0" fontId="0" fillId="3" borderId="4" xfId="0" applyFill="1" applyBorder="1" applyAlignment="1" applyProtection="1">
      <alignment horizontal="right"/>
      <protection hidden="1"/>
    </xf>
    <xf numFmtId="0" fontId="0" fillId="3" borderId="0" xfId="0" applyFill="1" applyBorder="1" applyAlignment="1" applyProtection="1">
      <alignment horizontal="right"/>
      <protection hidden="1"/>
    </xf>
    <xf numFmtId="0" fontId="0" fillId="3" borderId="5" xfId="0" applyFill="1" applyBorder="1" applyAlignment="1" applyProtection="1">
      <alignment horizontal="right"/>
      <protection hidden="1"/>
    </xf>
    <xf numFmtId="9" fontId="10" fillId="0" borderId="24" xfId="1" applyFont="1" applyFill="1" applyBorder="1" applyAlignment="1" applyProtection="1">
      <alignment horizontal="center" vertical="center" readingOrder="2"/>
      <protection locked="0" hidden="1"/>
    </xf>
    <xf numFmtId="9" fontId="7" fillId="11" borderId="27" xfId="1" applyFont="1" applyFill="1" applyBorder="1" applyAlignment="1" applyProtection="1">
      <alignment horizontal="center" wrapText="1" readingOrder="2"/>
      <protection hidden="1"/>
    </xf>
    <xf numFmtId="9" fontId="7" fillId="7" borderId="8" xfId="1" applyFont="1" applyFill="1" applyBorder="1" applyAlignment="1" applyProtection="1">
      <alignment horizontal="center" vertical="center" wrapText="1" readingOrder="2"/>
      <protection hidden="1"/>
    </xf>
    <xf numFmtId="9" fontId="7" fillId="7" borderId="10" xfId="1" applyFont="1" applyFill="1" applyBorder="1" applyAlignment="1" applyProtection="1">
      <alignment horizontal="center" vertical="center" wrapText="1" readingOrder="2"/>
      <protection hidden="1"/>
    </xf>
    <xf numFmtId="1" fontId="16" fillId="7" borderId="25" xfId="1" applyNumberFormat="1" applyFont="1" applyFill="1" applyBorder="1" applyAlignment="1" applyProtection="1">
      <alignment horizontal="center" vertical="center" wrapText="1" readingOrder="2"/>
      <protection hidden="1"/>
    </xf>
    <xf numFmtId="1" fontId="16" fillId="7" borderId="35" xfId="1" applyNumberFormat="1" applyFont="1" applyFill="1" applyBorder="1" applyAlignment="1" applyProtection="1">
      <alignment horizontal="center" vertical="center" wrapText="1" readingOrder="2"/>
      <protection hidden="1"/>
    </xf>
    <xf numFmtId="0" fontId="9" fillId="0" borderId="8" xfId="0" applyFont="1" applyFill="1" applyBorder="1" applyAlignment="1" applyProtection="1">
      <alignment horizontal="center" vertical="center" wrapText="1" readingOrder="2"/>
      <protection locked="0" hidden="1"/>
    </xf>
    <xf numFmtId="0" fontId="9" fillId="0" borderId="10" xfId="0" applyFont="1" applyFill="1" applyBorder="1" applyAlignment="1" applyProtection="1">
      <alignment horizontal="center" vertical="center" wrapText="1" readingOrder="2"/>
      <protection locked="0" hidden="1"/>
    </xf>
    <xf numFmtId="0" fontId="9" fillId="0" borderId="24" xfId="0" applyFont="1" applyFill="1" applyBorder="1" applyAlignment="1" applyProtection="1">
      <alignment horizontal="center" vertical="center" wrapText="1" readingOrder="2"/>
      <protection locked="0" hidden="1"/>
    </xf>
    <xf numFmtId="0" fontId="9" fillId="0" borderId="27" xfId="0" applyFont="1" applyFill="1" applyBorder="1" applyAlignment="1" applyProtection="1">
      <alignment horizontal="center" vertical="center" wrapText="1" readingOrder="2"/>
      <protection locked="0" hidden="1"/>
    </xf>
    <xf numFmtId="2" fontId="4" fillId="11" borderId="18" xfId="0" applyNumberFormat="1" applyFont="1" applyFill="1" applyBorder="1" applyAlignment="1" applyProtection="1">
      <alignment horizontal="center" vertical="center" wrapText="1"/>
      <protection hidden="1"/>
    </xf>
    <xf numFmtId="0" fontId="19" fillId="11" borderId="0" xfId="0" applyFont="1" applyFill="1" applyBorder="1" applyAlignment="1" applyProtection="1">
      <alignment horizontal="center"/>
      <protection hidden="1"/>
    </xf>
    <xf numFmtId="0" fontId="19" fillId="11" borderId="5" xfId="0" applyFont="1" applyFill="1" applyBorder="1" applyAlignment="1" applyProtection="1">
      <alignment horizontal="center"/>
      <protection hidden="1"/>
    </xf>
    <xf numFmtId="0" fontId="18" fillId="0" borderId="8" xfId="0" applyFont="1" applyFill="1" applyBorder="1" applyAlignment="1" applyProtection="1">
      <alignment horizontal="center" vertical="center" readingOrder="1"/>
      <protection locked="0" hidden="1"/>
    </xf>
    <xf numFmtId="2" fontId="4" fillId="13" borderId="19" xfId="0" applyNumberFormat="1" applyFont="1" applyFill="1" applyBorder="1" applyAlignment="1" applyProtection="1">
      <alignment horizontal="center" vertical="center" wrapText="1"/>
      <protection hidden="1"/>
    </xf>
    <xf numFmtId="2" fontId="4" fillId="13" borderId="18" xfId="0" applyNumberFormat="1" applyFont="1" applyFill="1" applyBorder="1" applyAlignment="1" applyProtection="1">
      <alignment horizontal="center" vertical="center" wrapText="1"/>
      <protection hidden="1"/>
    </xf>
    <xf numFmtId="2" fontId="4" fillId="13" borderId="28" xfId="0" applyNumberFormat="1" applyFont="1" applyFill="1" applyBorder="1" applyAlignment="1" applyProtection="1">
      <alignment horizontal="center" vertical="center" wrapText="1"/>
      <protection hidden="1"/>
    </xf>
    <xf numFmtId="0" fontId="19" fillId="3" borderId="8" xfId="0" applyFont="1" applyFill="1" applyBorder="1" applyAlignment="1" applyProtection="1">
      <alignment horizontal="center" vertical="center"/>
      <protection hidden="1"/>
    </xf>
    <xf numFmtId="0" fontId="19" fillId="3" borderId="10" xfId="0" applyFont="1" applyFill="1" applyBorder="1" applyAlignment="1" applyProtection="1">
      <alignment horizontal="center" vertical="center"/>
      <protection hidden="1"/>
    </xf>
    <xf numFmtId="2" fontId="26" fillId="14" borderId="0" xfId="0" applyNumberFormat="1" applyFont="1" applyFill="1" applyBorder="1" applyAlignment="1" applyProtection="1">
      <alignment horizontal="center" vertical="center" wrapText="1"/>
      <protection hidden="1"/>
    </xf>
    <xf numFmtId="0" fontId="17" fillId="7" borderId="41" xfId="0" applyFont="1" applyFill="1" applyBorder="1" applyAlignment="1" applyProtection="1">
      <alignment horizontal="center" vertical="center" readingOrder="2"/>
      <protection hidden="1"/>
    </xf>
    <xf numFmtId="0" fontId="17" fillId="7" borderId="18" xfId="0" applyFont="1" applyFill="1" applyBorder="1" applyAlignment="1" applyProtection="1">
      <alignment horizontal="center" vertical="center" readingOrder="2"/>
      <protection hidden="1"/>
    </xf>
    <xf numFmtId="0" fontId="17" fillId="7" borderId="42" xfId="0" applyFont="1" applyFill="1" applyBorder="1" applyAlignment="1" applyProtection="1">
      <alignment horizontal="center" vertical="center" readingOrder="2"/>
      <protection hidden="1"/>
    </xf>
    <xf numFmtId="2" fontId="11" fillId="4" borderId="8" xfId="0" applyNumberFormat="1" applyFont="1" applyFill="1" applyBorder="1" applyAlignment="1" applyProtection="1">
      <alignment horizontal="center" vertical="center" wrapText="1"/>
      <protection locked="0" hidden="1"/>
    </xf>
    <xf numFmtId="164" fontId="5" fillId="0" borderId="10" xfId="4" applyNumberFormat="1" applyFont="1" applyFill="1" applyBorder="1" applyAlignment="1" applyProtection="1">
      <alignment horizontal="center" vertical="center" wrapText="1" readingOrder="2"/>
      <protection locked="0" hidden="1"/>
    </xf>
    <xf numFmtId="164" fontId="5" fillId="0" borderId="27" xfId="4" applyNumberFormat="1" applyFont="1" applyFill="1" applyBorder="1" applyAlignment="1" applyProtection="1">
      <alignment horizontal="center" vertical="center" wrapText="1" readingOrder="2"/>
      <protection locked="0" hidden="1"/>
    </xf>
    <xf numFmtId="2" fontId="4" fillId="5" borderId="1" xfId="0" applyNumberFormat="1" applyFont="1" applyFill="1" applyBorder="1" applyAlignment="1" applyProtection="1">
      <alignment horizontal="center" vertical="center" wrapText="1"/>
      <protection hidden="1"/>
    </xf>
    <xf numFmtId="2" fontId="4" fillId="5" borderId="2" xfId="0" applyNumberFormat="1" applyFont="1" applyFill="1" applyBorder="1" applyAlignment="1" applyProtection="1">
      <alignment horizontal="center" vertical="center" wrapText="1"/>
      <protection hidden="1"/>
    </xf>
    <xf numFmtId="2" fontId="4" fillId="5" borderId="13" xfId="0" applyNumberFormat="1" applyFont="1" applyFill="1" applyBorder="1" applyAlignment="1" applyProtection="1">
      <alignment horizontal="center" vertical="center" wrapText="1"/>
      <protection hidden="1"/>
    </xf>
    <xf numFmtId="0" fontId="0" fillId="3" borderId="16" xfId="0" applyFill="1" applyBorder="1" applyAlignment="1" applyProtection="1">
      <alignment horizontal="center"/>
      <protection hidden="1"/>
    </xf>
    <xf numFmtId="0" fontId="0" fillId="3" borderId="17" xfId="0" applyFill="1" applyBorder="1" applyAlignment="1" applyProtection="1">
      <alignment horizontal="center"/>
      <protection hidden="1"/>
    </xf>
    <xf numFmtId="0" fontId="0" fillId="3" borderId="47" xfId="0" applyFill="1" applyBorder="1" applyAlignment="1" applyProtection="1">
      <alignment horizontal="center"/>
      <protection hidden="1"/>
    </xf>
    <xf numFmtId="164" fontId="7" fillId="0" borderId="43" xfId="4" applyNumberFormat="1" applyFont="1" applyFill="1" applyBorder="1" applyAlignment="1" applyProtection="1">
      <alignment horizontal="center" vertical="center" wrapText="1" readingOrder="2"/>
      <protection locked="0" hidden="1"/>
    </xf>
    <xf numFmtId="164" fontId="7" fillId="0" borderId="44" xfId="4" applyNumberFormat="1" applyFont="1" applyFill="1" applyBorder="1" applyAlignment="1" applyProtection="1">
      <alignment horizontal="center" vertical="center" wrapText="1" readingOrder="2"/>
      <protection locked="0" hidden="1"/>
    </xf>
    <xf numFmtId="164" fontId="7" fillId="0" borderId="45" xfId="4" applyNumberFormat="1" applyFont="1" applyFill="1" applyBorder="1" applyAlignment="1" applyProtection="1">
      <alignment horizontal="center" vertical="center" wrapText="1" readingOrder="2"/>
      <protection locked="0" hidden="1"/>
    </xf>
  </cellXfs>
  <cellStyles count="5">
    <cellStyle name="Comma" xfId="4" builtinId="3"/>
    <cellStyle name="Normal" xfId="0" builtinId="0"/>
    <cellStyle name="Percent" xfId="1" builtinId="5"/>
    <cellStyle name="היפר-קישור 2" xfId="3" xr:uid="{00000000-0005-0000-0000-000003000000}"/>
    <cellStyle name="רע" xfId="2" builtinId="27"/>
  </cellStyles>
  <dxfs count="0"/>
  <tableStyles count="0" defaultTableStyle="TableStyleMedium2" defaultPivotStyle="PivotStyleLight16"/>
  <colors>
    <mruColors>
      <color rgb="FF9B3F89"/>
      <color rgb="FF8A008A"/>
      <color rgb="FF9E009E"/>
      <color rgb="FF990099"/>
      <color rgb="FF800080"/>
      <color rgb="FFC42E87"/>
      <color rgb="FF962E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433379</xdr:colOff>
      <xdr:row>0</xdr:row>
      <xdr:rowOff>0</xdr:rowOff>
    </xdr:from>
    <xdr:to>
      <xdr:col>15</xdr:col>
      <xdr:colOff>88097</xdr:colOff>
      <xdr:row>7</xdr:row>
      <xdr:rowOff>68036</xdr:rowOff>
    </xdr:to>
    <xdr:pic>
      <xdr:nvPicPr>
        <xdr:cNvPr id="3" name="תמונה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03729465" y="0"/>
          <a:ext cx="4774406" cy="1687286"/>
        </a:xfrm>
        <a:prstGeom prst="rect">
          <a:avLst/>
        </a:prstGeom>
      </xdr:spPr>
    </xdr:pic>
    <xdr:clientData/>
  </xdr:twoCellAnchor>
  <xdr:twoCellAnchor editAs="oneCell">
    <xdr:from>
      <xdr:col>1</xdr:col>
      <xdr:colOff>444233</xdr:colOff>
      <xdr:row>0</xdr:row>
      <xdr:rowOff>0</xdr:rowOff>
    </xdr:from>
    <xdr:to>
      <xdr:col>1</xdr:col>
      <xdr:colOff>1826560</xdr:colOff>
      <xdr:row>7</xdr:row>
      <xdr:rowOff>163286</xdr:rowOff>
    </xdr:to>
    <xdr:pic>
      <xdr:nvPicPr>
        <xdr:cNvPr id="4" name="Picture 4">
          <a:extLst>
            <a:ext uri="{FF2B5EF4-FFF2-40B4-BE49-F238E27FC236}">
              <a16:creationId xmlns:a16="http://schemas.microsoft.com/office/drawing/2014/main" id="{00000000-0008-0000-0000-000004000000}"/>
            </a:ext>
          </a:extLst>
        </xdr:cNvPr>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0451" t="16679" r="18308" b="26033"/>
        <a:stretch/>
      </xdr:blipFill>
      <xdr:spPr>
        <a:xfrm>
          <a:off x="11197433116" y="0"/>
          <a:ext cx="1382327" cy="17769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497;&#1506;&#1493;&#1509;%20&#1506;&#1505;&#1511;&#1497;\&#1492;&#1505;&#1493;&#1499;&#1504;&#1493;&#1514;%20&#1500;&#1506;&#1505;&#1511;&#1497;&#1501;%20&#1511;&#1496;&#1504;&#1497;&#1501;%20&#1493;&#1489;&#1497;&#1504;&#1493;&#1504;&#1497;&#1497;&#1501;\&#1492;&#1490;&#1489;&#1512;&#1514;%20&#1489;&#1496;&#1497;&#1495;&#1493;&#1514;%20&#1492;&#1502;&#1494;&#1493;&#1503;\&#1489;&#1503;\&#1491;&#1493;&#1495;%20&#1512;&#1489;&#1506;&#1493;&#1503;%20&#1496;&#1497;&#1493;&#1496;&#1488;%207.11.17G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דיווח שני"/>
      <sheetName val="דיווח שלישי"/>
      <sheetName val="דיווח רביעי ואחרון"/>
      <sheetName val="רשימות בחירה גיליון עזר "/>
    </sheetNames>
    <sheetDataSet>
      <sheetData sheetId="0"/>
      <sheetData sheetId="1"/>
      <sheetData sheetId="2"/>
      <sheetData sheetId="3">
        <row r="3">
          <cell r="B3" t="str">
            <v>העסקת יועץ איכות/ מנהל איכות</v>
          </cell>
        </row>
        <row r="4">
          <cell r="B4" t="str">
            <v>העסקת יועץ וטרינרי</v>
          </cell>
        </row>
        <row r="5">
          <cell r="B5" t="str">
            <v>בדיקות מעבדה</v>
          </cell>
        </row>
        <row r="6">
          <cell r="B6" t="str">
            <v>ביצוע ניקיון יסודי</v>
          </cell>
        </row>
        <row r="7">
          <cell r="B7" t="str">
            <v>תשלום לגוף הנותן את האישור לתקינה</v>
          </cell>
        </row>
        <row r="8">
          <cell r="B8" t="str">
            <v>רכישת מערכת ממוחשבת לניהול מלאי</v>
          </cell>
        </row>
        <row r="11">
          <cell r="B11" t="str">
            <v>העסקת מומחים: יועץ/ מנהל איכות ע"ב שעתי</v>
          </cell>
        </row>
        <row r="12">
          <cell r="B12" t="str">
            <v>העסקת מומחים: יועץ וטרינרי ע"ב שעתי</v>
          </cell>
        </row>
        <row r="13">
          <cell r="B13" t="str">
            <v>ניקיון: העסקת צוות ניקיון במפעל ע"ב שעתי</v>
          </cell>
        </row>
        <row r="14">
          <cell r="B14" t="str">
            <v>ניקיון: מאמת ניקיון ע"ב שעתי</v>
          </cell>
        </row>
        <row r="15">
          <cell r="B15" t="str">
            <v xml:space="preserve">כיול תקופתי של ציוד, תחזוקה של ציוד </v>
          </cell>
        </row>
        <row r="16">
          <cell r="B16" t="str">
            <v>בדיקות מעבדה ובדיקות שוטפות</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W128"/>
  <sheetViews>
    <sheetView rightToLeft="1" tabSelected="1" zoomScale="85" zoomScaleNormal="85" zoomScaleSheetLayoutView="80" zoomScalePageLayoutView="80" workbookViewId="0">
      <selection activeCell="E20" sqref="E20:F20"/>
    </sheetView>
  </sheetViews>
  <sheetFormatPr defaultRowHeight="14.25" x14ac:dyDescent="0.2"/>
  <cols>
    <col min="1" max="1" width="5.375" style="5" customWidth="1"/>
    <col min="2" max="2" width="42.75" style="5" customWidth="1"/>
    <col min="3" max="3" width="11.5" style="5" customWidth="1"/>
    <col min="4" max="14" width="9.75" style="5" customWidth="1"/>
    <col min="15" max="16" width="9" style="5"/>
    <col min="17" max="17" width="4" style="5" customWidth="1"/>
    <col min="18" max="18" width="3.25" style="5" customWidth="1"/>
    <col min="19" max="20" width="9" style="5" customWidth="1"/>
    <col min="21" max="21" width="13.875" style="5" hidden="1" customWidth="1"/>
    <col min="22" max="22" width="15.625" style="5" hidden="1" customWidth="1"/>
    <col min="23" max="23" width="9" style="5" hidden="1" customWidth="1"/>
    <col min="24" max="16384" width="9" style="5"/>
  </cols>
  <sheetData>
    <row r="1" spans="2:16" x14ac:dyDescent="0.2">
      <c r="B1" s="2"/>
      <c r="C1" s="2"/>
      <c r="D1" s="2"/>
      <c r="E1" s="2"/>
      <c r="F1" s="2"/>
      <c r="G1" s="2"/>
      <c r="H1" s="2"/>
      <c r="I1" s="2"/>
      <c r="J1" s="2"/>
      <c r="K1" s="1"/>
      <c r="L1" s="1"/>
      <c r="M1" s="1"/>
      <c r="N1" s="1"/>
      <c r="O1" s="1"/>
      <c r="P1" s="1"/>
    </row>
    <row r="2" spans="2:16" x14ac:dyDescent="0.2">
      <c r="B2" s="2"/>
      <c r="C2" s="2"/>
      <c r="D2" s="2"/>
      <c r="E2" s="2"/>
      <c r="F2" s="2"/>
      <c r="G2" s="2"/>
      <c r="H2" s="2"/>
      <c r="I2" s="2"/>
      <c r="J2" s="2"/>
      <c r="K2" s="1"/>
      <c r="L2" s="1"/>
      <c r="M2" s="1"/>
      <c r="N2" s="1"/>
      <c r="O2" s="1"/>
      <c r="P2" s="1"/>
    </row>
    <row r="3" spans="2:16" x14ac:dyDescent="0.2">
      <c r="B3" s="2"/>
      <c r="C3" s="2"/>
      <c r="D3" s="2"/>
      <c r="E3" s="2"/>
      <c r="F3" s="2"/>
      <c r="G3" s="2"/>
      <c r="H3" s="2"/>
      <c r="I3" s="2"/>
      <c r="J3" s="2"/>
      <c r="K3" s="1"/>
      <c r="L3" s="1"/>
      <c r="M3" s="1"/>
      <c r="N3" s="1"/>
      <c r="O3" s="1"/>
      <c r="P3" s="1"/>
    </row>
    <row r="4" spans="2:16" x14ac:dyDescent="0.2">
      <c r="B4" s="2"/>
      <c r="C4" s="2"/>
      <c r="D4" s="2"/>
      <c r="E4" s="2"/>
      <c r="F4" s="2"/>
      <c r="G4" s="2"/>
      <c r="H4" s="2"/>
      <c r="I4" s="2"/>
      <c r="J4" s="2"/>
      <c r="K4" s="1"/>
      <c r="L4" s="1"/>
      <c r="M4" s="1"/>
      <c r="N4" s="1"/>
      <c r="O4" s="1"/>
      <c r="P4" s="1"/>
    </row>
    <row r="5" spans="2:16" ht="42.75" customHeight="1" x14ac:dyDescent="0.2">
      <c r="B5" s="2"/>
      <c r="C5" s="2"/>
      <c r="D5" s="2"/>
      <c r="E5" s="2"/>
      <c r="F5" s="2"/>
      <c r="G5" s="2"/>
      <c r="H5" s="2"/>
      <c r="I5" s="2"/>
      <c r="J5" s="2"/>
      <c r="K5" s="1"/>
      <c r="L5" s="1"/>
      <c r="M5" s="1"/>
      <c r="N5" s="1"/>
      <c r="O5" s="1"/>
      <c r="P5" s="1"/>
    </row>
    <row r="6" spans="2:16" x14ac:dyDescent="0.2">
      <c r="B6" s="2"/>
      <c r="C6" s="2"/>
      <c r="D6" s="2"/>
      <c r="E6" s="2"/>
      <c r="F6" s="2"/>
      <c r="G6" s="2"/>
      <c r="H6" s="2"/>
      <c r="I6" s="2"/>
      <c r="J6" s="2"/>
      <c r="K6" s="1"/>
      <c r="L6" s="1"/>
      <c r="M6" s="1"/>
      <c r="N6" s="1"/>
      <c r="O6" s="1"/>
      <c r="P6" s="1"/>
    </row>
    <row r="7" spans="2:16" x14ac:dyDescent="0.2">
      <c r="B7" s="2"/>
      <c r="C7" s="2"/>
      <c r="D7" s="2"/>
      <c r="E7" s="2"/>
      <c r="F7" s="2"/>
      <c r="G7" s="2"/>
      <c r="H7" s="2"/>
      <c r="I7" s="2"/>
      <c r="J7" s="2"/>
      <c r="K7" s="1"/>
      <c r="L7" s="1"/>
      <c r="M7" s="1"/>
      <c r="N7" s="1"/>
      <c r="O7" s="1"/>
      <c r="P7" s="1"/>
    </row>
    <row r="8" spans="2:16" x14ac:dyDescent="0.2">
      <c r="B8" s="2"/>
      <c r="C8" s="2"/>
      <c r="D8" s="2"/>
      <c r="E8" s="2"/>
      <c r="F8" s="2"/>
      <c r="G8" s="2"/>
      <c r="H8" s="2"/>
      <c r="I8" s="2"/>
      <c r="J8" s="2"/>
      <c r="K8" s="1"/>
      <c r="L8" s="1"/>
      <c r="M8" s="1"/>
      <c r="N8" s="1"/>
      <c r="O8" s="1"/>
      <c r="P8" s="1"/>
    </row>
    <row r="9" spans="2:16" ht="14.25" customHeight="1" x14ac:dyDescent="0.2">
      <c r="B9" s="211" t="s">
        <v>107</v>
      </c>
      <c r="C9" s="211"/>
      <c r="D9" s="211"/>
      <c r="E9" s="211"/>
      <c r="F9" s="211"/>
      <c r="G9" s="211"/>
      <c r="H9" s="211"/>
      <c r="I9" s="211"/>
      <c r="J9" s="211"/>
      <c r="K9" s="211"/>
      <c r="L9" s="211"/>
      <c r="M9" s="211"/>
      <c r="N9" s="211"/>
      <c r="O9" s="211"/>
      <c r="P9" s="211"/>
    </row>
    <row r="10" spans="2:16" ht="61.5" customHeight="1" x14ac:dyDescent="0.2">
      <c r="B10" s="211"/>
      <c r="C10" s="211"/>
      <c r="D10" s="211"/>
      <c r="E10" s="211"/>
      <c r="F10" s="211"/>
      <c r="G10" s="211"/>
      <c r="H10" s="211"/>
      <c r="I10" s="211"/>
      <c r="J10" s="211"/>
      <c r="K10" s="211"/>
      <c r="L10" s="211"/>
      <c r="M10" s="211"/>
      <c r="N10" s="211"/>
      <c r="O10" s="211"/>
      <c r="P10" s="211"/>
    </row>
    <row r="11" spans="2:16" ht="47.25" customHeight="1" x14ac:dyDescent="0.2">
      <c r="B11" s="9" t="s">
        <v>64</v>
      </c>
      <c r="C11" s="215"/>
      <c r="D11" s="215"/>
      <c r="E11" s="215"/>
      <c r="F11" s="215"/>
      <c r="G11" s="215"/>
      <c r="H11" s="215"/>
      <c r="I11" s="215"/>
      <c r="J11" s="9"/>
      <c r="K11" s="9"/>
      <c r="L11" s="9"/>
      <c r="M11" s="9"/>
      <c r="N11" s="9"/>
      <c r="O11" s="9"/>
      <c r="P11" s="9"/>
    </row>
    <row r="12" spans="2:16" x14ac:dyDescent="0.2">
      <c r="B12" s="10"/>
      <c r="C12" s="10"/>
      <c r="D12" s="10"/>
      <c r="E12" s="10"/>
      <c r="F12" s="10"/>
      <c r="G12" s="10"/>
      <c r="H12" s="10"/>
    </row>
    <row r="13" spans="2:16" ht="22.5" customHeight="1" thickBot="1" x14ac:dyDescent="0.25">
      <c r="B13" s="11" t="s">
        <v>66</v>
      </c>
      <c r="C13" s="12"/>
      <c r="D13" s="12"/>
      <c r="E13" s="12"/>
      <c r="F13" s="12"/>
      <c r="G13" s="12"/>
      <c r="H13" s="10"/>
    </row>
    <row r="14" spans="2:16" ht="22.5" customHeight="1" x14ac:dyDescent="0.2">
      <c r="B14" s="218" t="s">
        <v>46</v>
      </c>
      <c r="C14" s="219"/>
      <c r="D14" s="219"/>
      <c r="E14" s="219"/>
      <c r="F14" s="219"/>
      <c r="G14" s="219"/>
      <c r="H14" s="219"/>
      <c r="I14" s="219"/>
      <c r="J14" s="219"/>
      <c r="K14" s="219"/>
      <c r="L14" s="219"/>
      <c r="M14" s="219"/>
      <c r="N14" s="219"/>
      <c r="O14" s="219"/>
      <c r="P14" s="220"/>
    </row>
    <row r="15" spans="2:16" ht="40.5" customHeight="1" x14ac:dyDescent="0.2">
      <c r="B15" s="113" t="s">
        <v>47</v>
      </c>
      <c r="C15" s="161" t="s">
        <v>105</v>
      </c>
      <c r="D15" s="161"/>
      <c r="E15" s="161"/>
      <c r="F15" s="161"/>
      <c r="G15" s="160" t="s">
        <v>97</v>
      </c>
      <c r="H15" s="160"/>
      <c r="I15" s="209" t="s">
        <v>104</v>
      </c>
      <c r="J15" s="209"/>
      <c r="K15" s="209"/>
      <c r="L15" s="209"/>
      <c r="M15" s="209"/>
      <c r="N15" s="209"/>
      <c r="O15" s="209"/>
      <c r="P15" s="210"/>
    </row>
    <row r="16" spans="2:16" ht="15.75" customHeight="1" x14ac:dyDescent="0.2">
      <c r="B16" s="13"/>
      <c r="C16" s="149">
        <v>2023</v>
      </c>
      <c r="D16" s="149"/>
      <c r="E16" s="149">
        <v>2024</v>
      </c>
      <c r="F16" s="149"/>
      <c r="G16" s="149">
        <v>2025</v>
      </c>
      <c r="H16" s="149"/>
      <c r="I16" s="149">
        <v>2026</v>
      </c>
      <c r="J16" s="149"/>
      <c r="K16" s="149">
        <v>2027</v>
      </c>
      <c r="L16" s="149"/>
      <c r="M16" s="149">
        <v>2028</v>
      </c>
      <c r="N16" s="149"/>
      <c r="O16" s="149">
        <v>2029</v>
      </c>
      <c r="P16" s="170"/>
    </row>
    <row r="17" spans="2:16" ht="15.75" x14ac:dyDescent="0.2">
      <c r="B17" s="13" t="s">
        <v>31</v>
      </c>
      <c r="C17" s="129"/>
      <c r="D17" s="129"/>
      <c r="E17" s="129"/>
      <c r="F17" s="129"/>
      <c r="G17" s="129"/>
      <c r="H17" s="129"/>
      <c r="I17" s="129"/>
      <c r="J17" s="129"/>
      <c r="K17" s="129"/>
      <c r="L17" s="129"/>
      <c r="M17" s="129"/>
      <c r="N17" s="129"/>
      <c r="O17" s="129"/>
      <c r="P17" s="171"/>
    </row>
    <row r="18" spans="2:16" ht="15.75" x14ac:dyDescent="0.2">
      <c r="B18" s="14" t="s">
        <v>22</v>
      </c>
      <c r="C18" s="156"/>
      <c r="D18" s="156"/>
      <c r="E18" s="156"/>
      <c r="F18" s="156"/>
      <c r="G18" s="156"/>
      <c r="H18" s="156"/>
      <c r="I18" s="156"/>
      <c r="J18" s="156"/>
      <c r="K18" s="156"/>
      <c r="L18" s="156"/>
      <c r="M18" s="156"/>
      <c r="N18" s="156"/>
      <c r="O18" s="156"/>
      <c r="P18" s="172"/>
    </row>
    <row r="19" spans="2:16" ht="15.75" x14ac:dyDescent="0.2">
      <c r="B19" s="14" t="s">
        <v>50</v>
      </c>
      <c r="C19" s="156"/>
      <c r="D19" s="156"/>
      <c r="E19" s="156"/>
      <c r="F19" s="156"/>
      <c r="G19" s="156"/>
      <c r="H19" s="156"/>
      <c r="I19" s="156"/>
      <c r="J19" s="156"/>
      <c r="K19" s="156"/>
      <c r="L19" s="156"/>
      <c r="M19" s="156"/>
      <c r="N19" s="156"/>
      <c r="O19" s="156"/>
      <c r="P19" s="172"/>
    </row>
    <row r="20" spans="2:16" ht="15.75" x14ac:dyDescent="0.2">
      <c r="B20" s="14" t="s">
        <v>54</v>
      </c>
      <c r="C20" s="156"/>
      <c r="D20" s="156"/>
      <c r="E20" s="156"/>
      <c r="F20" s="156"/>
      <c r="G20" s="156"/>
      <c r="H20" s="156"/>
      <c r="I20" s="156"/>
      <c r="J20" s="156"/>
      <c r="K20" s="156"/>
      <c r="L20" s="156"/>
      <c r="M20" s="156"/>
      <c r="N20" s="156"/>
      <c r="O20" s="156"/>
      <c r="P20" s="172"/>
    </row>
    <row r="21" spans="2:16" ht="15.75" x14ac:dyDescent="0.2">
      <c r="B21" s="15" t="s">
        <v>43</v>
      </c>
      <c r="C21" s="159" t="s">
        <v>42</v>
      </c>
      <c r="D21" s="159"/>
      <c r="E21" s="141" t="str">
        <f>IFERROR(E20/C20-1,"..")</f>
        <v>..</v>
      </c>
      <c r="F21" s="141"/>
      <c r="G21" s="141" t="str">
        <f>IFERROR(G20/E20-1,"..")</f>
        <v>..</v>
      </c>
      <c r="H21" s="141"/>
      <c r="I21" s="141" t="str">
        <f>IFERROR(I20/G20-1,"..")</f>
        <v>..</v>
      </c>
      <c r="J21" s="141"/>
      <c r="K21" s="141" t="str">
        <f>IFERROR(K20/I20-1,"..")</f>
        <v>..</v>
      </c>
      <c r="L21" s="141"/>
      <c r="M21" s="141" t="str">
        <f>IFERROR(M20/K20-1,"..")</f>
        <v>..</v>
      </c>
      <c r="N21" s="141"/>
      <c r="O21" s="141" t="str">
        <f>IFERROR(O20/M20-1,"..")</f>
        <v>..</v>
      </c>
      <c r="P21" s="173"/>
    </row>
    <row r="22" spans="2:16" ht="15.75" x14ac:dyDescent="0.2">
      <c r="B22" s="16" t="s">
        <v>23</v>
      </c>
      <c r="C22" s="156"/>
      <c r="D22" s="156"/>
      <c r="E22" s="156"/>
      <c r="F22" s="156"/>
      <c r="G22" s="156"/>
      <c r="H22" s="156"/>
      <c r="I22" s="156"/>
      <c r="J22" s="156"/>
      <c r="K22" s="156"/>
      <c r="L22" s="156"/>
      <c r="M22" s="156"/>
      <c r="N22" s="156"/>
      <c r="O22" s="156"/>
      <c r="P22" s="172"/>
    </row>
    <row r="23" spans="2:16" ht="15.75" x14ac:dyDescent="0.2">
      <c r="B23" s="15" t="s">
        <v>12</v>
      </c>
      <c r="C23" s="142">
        <f>C20-C22</f>
        <v>0</v>
      </c>
      <c r="D23" s="142"/>
      <c r="E23" s="142">
        <f>E20-E22</f>
        <v>0</v>
      </c>
      <c r="F23" s="142"/>
      <c r="G23" s="142">
        <f>G20-G22</f>
        <v>0</v>
      </c>
      <c r="H23" s="142"/>
      <c r="I23" s="142">
        <f>I20-I22</f>
        <v>0</v>
      </c>
      <c r="J23" s="142"/>
      <c r="K23" s="142">
        <f>K20-K22</f>
        <v>0</v>
      </c>
      <c r="L23" s="142"/>
      <c r="M23" s="142">
        <f>M20-M22</f>
        <v>0</v>
      </c>
      <c r="N23" s="142"/>
      <c r="O23" s="142">
        <f>O20-O22</f>
        <v>0</v>
      </c>
      <c r="P23" s="176"/>
    </row>
    <row r="24" spans="2:16" ht="15.75" x14ac:dyDescent="0.2">
      <c r="B24" s="15" t="s">
        <v>20</v>
      </c>
      <c r="C24" s="141" t="str">
        <f>IFERROR(C23/C20,"..")</f>
        <v>..</v>
      </c>
      <c r="D24" s="141"/>
      <c r="E24" s="141" t="str">
        <f>IFERROR(E23/E20,"..")</f>
        <v>..</v>
      </c>
      <c r="F24" s="141"/>
      <c r="G24" s="141" t="str">
        <f>IFERROR(G23/G20,"..")</f>
        <v>..</v>
      </c>
      <c r="H24" s="141"/>
      <c r="I24" s="141" t="str">
        <f>IFERROR(I23/I20,"..")</f>
        <v>..</v>
      </c>
      <c r="J24" s="141"/>
      <c r="K24" s="141" t="str">
        <f>IFERROR(K23/K20,"..")</f>
        <v>..</v>
      </c>
      <c r="L24" s="141"/>
      <c r="M24" s="141" t="str">
        <f>IFERROR(M23/M20,"..")</f>
        <v>..</v>
      </c>
      <c r="N24" s="141"/>
      <c r="O24" s="141" t="str">
        <f>IFERROR(O23/O20,"..")</f>
        <v>..</v>
      </c>
      <c r="P24" s="173"/>
    </row>
    <row r="25" spans="2:16" ht="15.75" x14ac:dyDescent="0.2">
      <c r="B25" s="16" t="s">
        <v>24</v>
      </c>
      <c r="C25" s="156"/>
      <c r="D25" s="156"/>
      <c r="E25" s="156"/>
      <c r="F25" s="156"/>
      <c r="G25" s="156"/>
      <c r="H25" s="156"/>
      <c r="I25" s="156"/>
      <c r="J25" s="156"/>
      <c r="K25" s="156"/>
      <c r="L25" s="156"/>
      <c r="M25" s="156"/>
      <c r="N25" s="156"/>
      <c r="O25" s="156"/>
      <c r="P25" s="172"/>
    </row>
    <row r="26" spans="2:16" ht="15.75" x14ac:dyDescent="0.2">
      <c r="B26" s="15" t="s">
        <v>25</v>
      </c>
      <c r="C26" s="142">
        <f>C23-C25</f>
        <v>0</v>
      </c>
      <c r="D26" s="142"/>
      <c r="E26" s="142">
        <f>E23-E25</f>
        <v>0</v>
      </c>
      <c r="F26" s="142"/>
      <c r="G26" s="142">
        <f>G23-G25</f>
        <v>0</v>
      </c>
      <c r="H26" s="142"/>
      <c r="I26" s="142">
        <f>I23-I25</f>
        <v>0</v>
      </c>
      <c r="J26" s="142"/>
      <c r="K26" s="142">
        <f>K23-K25</f>
        <v>0</v>
      </c>
      <c r="L26" s="142"/>
      <c r="M26" s="142">
        <f>M23-M25</f>
        <v>0</v>
      </c>
      <c r="N26" s="142"/>
      <c r="O26" s="142">
        <f>O23-O25</f>
        <v>0</v>
      </c>
      <c r="P26" s="176"/>
    </row>
    <row r="27" spans="2:16" ht="15.75" x14ac:dyDescent="0.2">
      <c r="B27" s="15" t="s">
        <v>21</v>
      </c>
      <c r="C27" s="141" t="str">
        <f>IFERROR(C26/C20,"..")</f>
        <v>..</v>
      </c>
      <c r="D27" s="141"/>
      <c r="E27" s="141" t="str">
        <f>IFERROR(E26/E20,"..")</f>
        <v>..</v>
      </c>
      <c r="F27" s="141"/>
      <c r="G27" s="141" t="str">
        <f>IFERROR(G26/G20,"..")</f>
        <v>..</v>
      </c>
      <c r="H27" s="141"/>
      <c r="I27" s="141" t="str">
        <f>IFERROR(I26/I20,"..")</f>
        <v>..</v>
      </c>
      <c r="J27" s="141"/>
      <c r="K27" s="141" t="str">
        <f>IFERROR(K26/K20,"..")</f>
        <v>..</v>
      </c>
      <c r="L27" s="141"/>
      <c r="M27" s="141" t="str">
        <f>IFERROR(M26/M20,"..")</f>
        <v>..</v>
      </c>
      <c r="N27" s="141"/>
      <c r="O27" s="141" t="str">
        <f>IFERROR(O26/O20,"..")</f>
        <v>..</v>
      </c>
      <c r="P27" s="173"/>
    </row>
    <row r="28" spans="2:16" ht="15.75" x14ac:dyDescent="0.2">
      <c r="B28" s="16" t="s">
        <v>26</v>
      </c>
      <c r="C28" s="156"/>
      <c r="D28" s="156"/>
      <c r="E28" s="156"/>
      <c r="F28" s="156"/>
      <c r="G28" s="156"/>
      <c r="H28" s="156"/>
      <c r="I28" s="156"/>
      <c r="J28" s="156"/>
      <c r="K28" s="156"/>
      <c r="L28" s="156"/>
      <c r="M28" s="156"/>
      <c r="N28" s="156"/>
      <c r="O28" s="156"/>
      <c r="P28" s="172"/>
    </row>
    <row r="29" spans="2:16" ht="15.75" x14ac:dyDescent="0.2">
      <c r="B29" s="16" t="s">
        <v>53</v>
      </c>
      <c r="C29" s="156"/>
      <c r="D29" s="156"/>
      <c r="E29" s="156"/>
      <c r="F29" s="156"/>
      <c r="G29" s="156"/>
      <c r="H29" s="156"/>
      <c r="I29" s="156"/>
      <c r="J29" s="156"/>
      <c r="K29" s="156"/>
      <c r="L29" s="156"/>
      <c r="M29" s="156"/>
      <c r="N29" s="156"/>
      <c r="O29" s="156"/>
      <c r="P29" s="172"/>
    </row>
    <row r="30" spans="2:16" ht="15.75" x14ac:dyDescent="0.2">
      <c r="B30" s="15" t="s">
        <v>27</v>
      </c>
      <c r="C30" s="142">
        <f>C26-C28+C29</f>
        <v>0</v>
      </c>
      <c r="D30" s="142"/>
      <c r="E30" s="142">
        <f t="shared" ref="E30" si="0">E26-E28+E29</f>
        <v>0</v>
      </c>
      <c r="F30" s="142"/>
      <c r="G30" s="142">
        <f t="shared" ref="G30" si="1">G26-G28+G29</f>
        <v>0</v>
      </c>
      <c r="H30" s="142"/>
      <c r="I30" s="142">
        <f t="shared" ref="I30" si="2">I26-I28+I29</f>
        <v>0</v>
      </c>
      <c r="J30" s="142"/>
      <c r="K30" s="142">
        <f t="shared" ref="K30:M30" si="3">K26-K28+K29</f>
        <v>0</v>
      </c>
      <c r="L30" s="142"/>
      <c r="M30" s="142">
        <f t="shared" si="3"/>
        <v>0</v>
      </c>
      <c r="N30" s="142"/>
      <c r="O30" s="142">
        <f t="shared" ref="O30" si="4">O26-O28+O29</f>
        <v>0</v>
      </c>
      <c r="P30" s="176"/>
    </row>
    <row r="31" spans="2:16" ht="15.75" x14ac:dyDescent="0.2">
      <c r="B31" s="16" t="s">
        <v>28</v>
      </c>
      <c r="C31" s="156"/>
      <c r="D31" s="156"/>
      <c r="E31" s="156"/>
      <c r="F31" s="156"/>
      <c r="G31" s="156"/>
      <c r="H31" s="156"/>
      <c r="I31" s="156"/>
      <c r="J31" s="156"/>
      <c r="K31" s="156"/>
      <c r="L31" s="156"/>
      <c r="M31" s="156"/>
      <c r="N31" s="156"/>
      <c r="O31" s="156"/>
      <c r="P31" s="172"/>
    </row>
    <row r="32" spans="2:16" ht="15.75" x14ac:dyDescent="0.2">
      <c r="B32" s="15" t="s">
        <v>29</v>
      </c>
      <c r="C32" s="142">
        <f>C30-C31</f>
        <v>0</v>
      </c>
      <c r="D32" s="142"/>
      <c r="E32" s="142">
        <f>E30-E31</f>
        <v>0</v>
      </c>
      <c r="F32" s="142"/>
      <c r="G32" s="142">
        <f>G30-G31</f>
        <v>0</v>
      </c>
      <c r="H32" s="142"/>
      <c r="I32" s="142">
        <f>I30-I31</f>
        <v>0</v>
      </c>
      <c r="J32" s="142"/>
      <c r="K32" s="142">
        <f>K30-K31</f>
        <v>0</v>
      </c>
      <c r="L32" s="142"/>
      <c r="M32" s="142">
        <f>M30-M31</f>
        <v>0</v>
      </c>
      <c r="N32" s="142"/>
      <c r="O32" s="142">
        <f>O30-O31</f>
        <v>0</v>
      </c>
      <c r="P32" s="176"/>
    </row>
    <row r="33" spans="2:16" ht="15.75" x14ac:dyDescent="0.2">
      <c r="B33" s="15" t="s">
        <v>30</v>
      </c>
      <c r="C33" s="141" t="str">
        <f>IFERROR(C32/C20,"..")</f>
        <v>..</v>
      </c>
      <c r="D33" s="141"/>
      <c r="E33" s="141" t="str">
        <f>IFERROR(E32/E20,"..")</f>
        <v>..</v>
      </c>
      <c r="F33" s="141"/>
      <c r="G33" s="141" t="str">
        <f>IFERROR(G32/G20,"..")</f>
        <v>..</v>
      </c>
      <c r="H33" s="141"/>
      <c r="I33" s="141" t="str">
        <f>IFERROR(I32/I20,"..")</f>
        <v>..</v>
      </c>
      <c r="J33" s="141"/>
      <c r="K33" s="141" t="str">
        <f>IFERROR(K32/K20,"..")</f>
        <v>..</v>
      </c>
      <c r="L33" s="141"/>
      <c r="M33" s="141" t="str">
        <f>IFERROR(M32/M20,"..")</f>
        <v>..</v>
      </c>
      <c r="N33" s="141"/>
      <c r="O33" s="141" t="str">
        <f>IFERROR(O32/O20,"..")</f>
        <v>..</v>
      </c>
      <c r="P33" s="173"/>
    </row>
    <row r="34" spans="2:16" x14ac:dyDescent="0.2">
      <c r="B34" s="17" t="s">
        <v>83</v>
      </c>
      <c r="C34" s="3"/>
      <c r="D34" s="3"/>
      <c r="E34" s="3"/>
      <c r="F34" s="3"/>
      <c r="G34" s="3"/>
      <c r="H34" s="3"/>
      <c r="I34" s="3"/>
      <c r="J34" s="3"/>
      <c r="K34" s="3"/>
      <c r="L34" s="3"/>
      <c r="M34" s="3"/>
      <c r="N34" s="3"/>
      <c r="O34" s="3"/>
      <c r="P34" s="4"/>
    </row>
    <row r="35" spans="2:16" ht="15.75" x14ac:dyDescent="0.2">
      <c r="B35" s="16" t="s">
        <v>84</v>
      </c>
      <c r="C35" s="140"/>
      <c r="D35" s="140"/>
      <c r="E35" s="140"/>
      <c r="F35" s="140"/>
      <c r="G35" s="140"/>
      <c r="H35" s="140"/>
      <c r="I35" s="140"/>
      <c r="J35" s="140"/>
      <c r="K35" s="140"/>
      <c r="L35" s="140"/>
      <c r="M35" s="140"/>
      <c r="N35" s="140"/>
      <c r="O35" s="140"/>
      <c r="P35" s="216"/>
    </row>
    <row r="36" spans="2:16" ht="16.5" thickBot="1" x14ac:dyDescent="0.25">
      <c r="B36" s="18" t="s">
        <v>85</v>
      </c>
      <c r="C36" s="143"/>
      <c r="D36" s="143"/>
      <c r="E36" s="143"/>
      <c r="F36" s="143"/>
      <c r="G36" s="143"/>
      <c r="H36" s="143"/>
      <c r="I36" s="143"/>
      <c r="J36" s="143"/>
      <c r="K36" s="143"/>
      <c r="L36" s="143"/>
      <c r="M36" s="143"/>
      <c r="N36" s="143"/>
      <c r="O36" s="143"/>
      <c r="P36" s="217"/>
    </row>
    <row r="37" spans="2:16" x14ac:dyDescent="0.2">
      <c r="B37" s="6"/>
      <c r="C37" s="6"/>
      <c r="D37" s="6"/>
      <c r="E37" s="6"/>
      <c r="F37" s="6"/>
      <c r="G37" s="6"/>
      <c r="H37" s="6"/>
      <c r="I37" s="6"/>
      <c r="J37" s="6"/>
      <c r="K37" s="6"/>
      <c r="L37" s="6"/>
      <c r="M37" s="6"/>
      <c r="N37" s="6"/>
      <c r="O37" s="6"/>
      <c r="P37" s="6"/>
    </row>
    <row r="38" spans="2:16" x14ac:dyDescent="0.2">
      <c r="B38" s="6"/>
      <c r="C38" s="6"/>
      <c r="D38" s="6"/>
      <c r="E38" s="6"/>
      <c r="F38" s="6"/>
      <c r="G38" s="6"/>
      <c r="H38" s="6"/>
      <c r="I38" s="6"/>
      <c r="J38" s="6"/>
      <c r="K38" s="6"/>
      <c r="L38" s="6"/>
      <c r="M38" s="6"/>
      <c r="N38" s="6"/>
      <c r="O38" s="6"/>
      <c r="P38" s="6"/>
    </row>
    <row r="39" spans="2:16" ht="15" thickBot="1" x14ac:dyDescent="0.25">
      <c r="B39" s="6"/>
      <c r="C39" s="6"/>
      <c r="D39" s="6"/>
      <c r="E39" s="6"/>
      <c r="F39" s="6"/>
      <c r="G39" s="6"/>
      <c r="H39" s="6"/>
      <c r="I39" s="6"/>
      <c r="J39" s="6"/>
      <c r="K39" s="6"/>
      <c r="L39" s="6"/>
      <c r="M39" s="6"/>
      <c r="N39" s="6"/>
      <c r="O39" s="6"/>
      <c r="P39" s="6"/>
    </row>
    <row r="40" spans="2:16" ht="22.5" customHeight="1" x14ac:dyDescent="0.2">
      <c r="B40" s="162" t="s">
        <v>32</v>
      </c>
      <c r="C40" s="163"/>
      <c r="D40" s="163"/>
      <c r="E40" s="163"/>
      <c r="F40" s="163"/>
      <c r="G40" s="163"/>
      <c r="H40" s="163"/>
      <c r="I40" s="163"/>
      <c r="J40" s="163"/>
      <c r="K40" s="163"/>
      <c r="L40" s="163"/>
      <c r="M40" s="163"/>
      <c r="N40" s="163"/>
      <c r="O40" s="163"/>
      <c r="P40" s="164"/>
    </row>
    <row r="41" spans="2:16" ht="15" thickBot="1" x14ac:dyDescent="0.25">
      <c r="B41" s="165"/>
      <c r="C41" s="166"/>
      <c r="D41" s="166"/>
      <c r="E41" s="166"/>
      <c r="F41" s="166"/>
      <c r="G41" s="166"/>
      <c r="H41" s="166"/>
      <c r="I41" s="166"/>
      <c r="J41" s="166"/>
      <c r="K41" s="166"/>
      <c r="L41" s="166"/>
      <c r="M41" s="166"/>
      <c r="N41" s="166"/>
      <c r="O41" s="166"/>
      <c r="P41" s="167"/>
    </row>
    <row r="42" spans="2:16" ht="48" customHeight="1" x14ac:dyDescent="0.2">
      <c r="B42" s="19"/>
      <c r="C42" s="148" t="s">
        <v>11</v>
      </c>
      <c r="D42" s="148"/>
      <c r="E42" s="148"/>
      <c r="F42" s="148"/>
      <c r="G42" s="155" t="s">
        <v>67</v>
      </c>
      <c r="H42" s="155"/>
      <c r="I42" s="168" t="s">
        <v>39</v>
      </c>
      <c r="J42" s="168"/>
      <c r="K42" s="168"/>
      <c r="L42" s="168"/>
      <c r="M42" s="168"/>
      <c r="N42" s="168"/>
      <c r="O42" s="168"/>
      <c r="P42" s="169"/>
    </row>
    <row r="43" spans="2:16" ht="36.75" customHeight="1" x14ac:dyDescent="0.2">
      <c r="B43" s="20"/>
      <c r="C43" s="149">
        <v>2023</v>
      </c>
      <c r="D43" s="149"/>
      <c r="E43" s="149">
        <v>2024</v>
      </c>
      <c r="F43" s="149"/>
      <c r="G43" s="149">
        <v>2025</v>
      </c>
      <c r="H43" s="149"/>
      <c r="I43" s="149">
        <v>2026</v>
      </c>
      <c r="J43" s="149"/>
      <c r="K43" s="149">
        <v>2027</v>
      </c>
      <c r="L43" s="149"/>
      <c r="M43" s="149">
        <v>2028</v>
      </c>
      <c r="N43" s="149"/>
      <c r="O43" s="149">
        <v>2029</v>
      </c>
      <c r="P43" s="149"/>
    </row>
    <row r="44" spans="2:16" ht="15.75" x14ac:dyDescent="0.2">
      <c r="B44" s="105" t="s">
        <v>41</v>
      </c>
      <c r="C44" s="142">
        <f>C20</f>
        <v>0</v>
      </c>
      <c r="D44" s="142"/>
      <c r="E44" s="142">
        <f>E20</f>
        <v>0</v>
      </c>
      <c r="F44" s="142"/>
      <c r="G44" s="142">
        <f>G20</f>
        <v>0</v>
      </c>
      <c r="H44" s="142"/>
      <c r="I44" s="142">
        <f>I20</f>
        <v>0</v>
      </c>
      <c r="J44" s="142"/>
      <c r="K44" s="142">
        <f>K20</f>
        <v>0</v>
      </c>
      <c r="L44" s="142"/>
      <c r="M44" s="142">
        <f>M20</f>
        <v>0</v>
      </c>
      <c r="N44" s="142"/>
      <c r="O44" s="142">
        <f>O20</f>
        <v>0</v>
      </c>
      <c r="P44" s="176"/>
    </row>
    <row r="45" spans="2:16" ht="15.75" x14ac:dyDescent="0.2">
      <c r="B45" s="105" t="s">
        <v>12</v>
      </c>
      <c r="C45" s="142">
        <f>C23</f>
        <v>0</v>
      </c>
      <c r="D45" s="142"/>
      <c r="E45" s="142">
        <f>E23</f>
        <v>0</v>
      </c>
      <c r="F45" s="142"/>
      <c r="G45" s="142">
        <f>G23</f>
        <v>0</v>
      </c>
      <c r="H45" s="142"/>
      <c r="I45" s="142">
        <f>I23</f>
        <v>0</v>
      </c>
      <c r="J45" s="142"/>
      <c r="K45" s="142">
        <f>K23</f>
        <v>0</v>
      </c>
      <c r="L45" s="142"/>
      <c r="M45" s="142">
        <f>M23</f>
        <v>0</v>
      </c>
      <c r="N45" s="142"/>
      <c r="O45" s="142">
        <f>O23</f>
        <v>0</v>
      </c>
      <c r="P45" s="176"/>
    </row>
    <row r="46" spans="2:16" ht="15.75" x14ac:dyDescent="0.2">
      <c r="B46" s="105" t="s">
        <v>13</v>
      </c>
      <c r="C46" s="141" t="str">
        <f>C24</f>
        <v>..</v>
      </c>
      <c r="D46" s="141"/>
      <c r="E46" s="141" t="str">
        <f>E24</f>
        <v>..</v>
      </c>
      <c r="F46" s="141"/>
      <c r="G46" s="141" t="str">
        <f>G24</f>
        <v>..</v>
      </c>
      <c r="H46" s="141"/>
      <c r="I46" s="141" t="str">
        <f>I24</f>
        <v>..</v>
      </c>
      <c r="J46" s="141"/>
      <c r="K46" s="141" t="str">
        <f>K24</f>
        <v>..</v>
      </c>
      <c r="L46" s="141"/>
      <c r="M46" s="141" t="str">
        <f>M24</f>
        <v>..</v>
      </c>
      <c r="N46" s="141"/>
      <c r="O46" s="141" t="str">
        <f>O24</f>
        <v>..</v>
      </c>
      <c r="P46" s="173"/>
    </row>
    <row r="47" spans="2:16" ht="15.75" x14ac:dyDescent="0.2">
      <c r="B47" s="105" t="s">
        <v>86</v>
      </c>
      <c r="C47" s="142">
        <f>C26+C35+C36</f>
        <v>0</v>
      </c>
      <c r="D47" s="142"/>
      <c r="E47" s="142">
        <f>E26+E35+E36</f>
        <v>0</v>
      </c>
      <c r="F47" s="142"/>
      <c r="G47" s="142">
        <f>G26+G35+G36</f>
        <v>0</v>
      </c>
      <c r="H47" s="142"/>
      <c r="I47" s="142">
        <f>I26+I35+I36</f>
        <v>0</v>
      </c>
      <c r="J47" s="142"/>
      <c r="K47" s="142">
        <f>K26+K35+K36</f>
        <v>0</v>
      </c>
      <c r="L47" s="142"/>
      <c r="M47" s="142">
        <f>M26+M35+M36</f>
        <v>0</v>
      </c>
      <c r="N47" s="142"/>
      <c r="O47" s="142">
        <f>O26+O35+O36</f>
        <v>0</v>
      </c>
      <c r="P47" s="176"/>
    </row>
    <row r="48" spans="2:16" ht="15.75" x14ac:dyDescent="0.2">
      <c r="B48" s="105" t="s">
        <v>87</v>
      </c>
      <c r="C48" s="142">
        <f>C36+C35</f>
        <v>0</v>
      </c>
      <c r="D48" s="142"/>
      <c r="E48" s="142">
        <f t="shared" ref="E48" si="5">E36+E35</f>
        <v>0</v>
      </c>
      <c r="F48" s="142"/>
      <c r="G48" s="142">
        <f t="shared" ref="G48" si="6">G36+G35</f>
        <v>0</v>
      </c>
      <c r="H48" s="142"/>
      <c r="I48" s="142">
        <f t="shared" ref="I48" si="7">I36+I35</f>
        <v>0</v>
      </c>
      <c r="J48" s="142"/>
      <c r="K48" s="142">
        <f t="shared" ref="K48" si="8">K36+K35</f>
        <v>0</v>
      </c>
      <c r="L48" s="142"/>
      <c r="M48" s="142">
        <f t="shared" ref="M48" si="9">M36+M35</f>
        <v>0</v>
      </c>
      <c r="N48" s="142"/>
      <c r="O48" s="142">
        <f t="shared" ref="O48" si="10">O36+O35</f>
        <v>0</v>
      </c>
      <c r="P48" s="176"/>
    </row>
    <row r="49" spans="2:16" ht="31.5" x14ac:dyDescent="0.2">
      <c r="B49" s="105" t="s">
        <v>89</v>
      </c>
      <c r="C49" s="142">
        <f>C47+C48-C29</f>
        <v>0</v>
      </c>
      <c r="D49" s="142"/>
      <c r="E49" s="142">
        <f t="shared" ref="E49" si="11">E47+E48-E29</f>
        <v>0</v>
      </c>
      <c r="F49" s="142"/>
      <c r="G49" s="142">
        <f t="shared" ref="G49" si="12">G47+G48-G29</f>
        <v>0</v>
      </c>
      <c r="H49" s="142"/>
      <c r="I49" s="142">
        <f t="shared" ref="I49" si="13">I47+I48-I29</f>
        <v>0</v>
      </c>
      <c r="J49" s="142"/>
      <c r="K49" s="142">
        <f t="shared" ref="K49" si="14">K47+K48-K29</f>
        <v>0</v>
      </c>
      <c r="L49" s="142"/>
      <c r="M49" s="142">
        <f t="shared" ref="M49" si="15">M47+M48-M29</f>
        <v>0</v>
      </c>
      <c r="N49" s="142"/>
      <c r="O49" s="142">
        <f t="shared" ref="O49" si="16">O47+O48-O29</f>
        <v>0</v>
      </c>
      <c r="P49" s="176"/>
    </row>
    <row r="50" spans="2:16" ht="32.25" thickBot="1" x14ac:dyDescent="0.25">
      <c r="B50" s="106" t="s">
        <v>90</v>
      </c>
      <c r="C50" s="152" t="str">
        <f>IFERROR(C49/C44," ")</f>
        <v xml:space="preserve"> </v>
      </c>
      <c r="D50" s="152"/>
      <c r="E50" s="152" t="str">
        <f t="shared" ref="E50" si="17">IFERROR(E49/E44," ")</f>
        <v xml:space="preserve"> </v>
      </c>
      <c r="F50" s="152"/>
      <c r="G50" s="152" t="str">
        <f t="shared" ref="G50" si="18">IFERROR(G49/G44," ")</f>
        <v xml:space="preserve"> </v>
      </c>
      <c r="H50" s="152"/>
      <c r="I50" s="152" t="str">
        <f t="shared" ref="I50" si="19">IFERROR(I49/I44," ")</f>
        <v xml:space="preserve"> </v>
      </c>
      <c r="J50" s="152"/>
      <c r="K50" s="152" t="str">
        <f t="shared" ref="K50" si="20">IFERROR(K49/K44," ")</f>
        <v xml:space="preserve"> </v>
      </c>
      <c r="L50" s="152"/>
      <c r="M50" s="152" t="str">
        <f t="shared" ref="M50" si="21">IFERROR(M49/M44," ")</f>
        <v xml:space="preserve"> </v>
      </c>
      <c r="N50" s="152"/>
      <c r="O50" s="152" t="str">
        <f t="shared" ref="O50" si="22">IFERROR(O49/O44," ")</f>
        <v xml:space="preserve"> </v>
      </c>
      <c r="P50" s="177"/>
    </row>
    <row r="51" spans="2:16" ht="15" thickBot="1" x14ac:dyDescent="0.25">
      <c r="B51" s="183"/>
      <c r="C51" s="184"/>
      <c r="D51" s="184"/>
      <c r="E51" s="184"/>
      <c r="F51" s="184"/>
      <c r="G51" s="184"/>
      <c r="H51" s="184"/>
      <c r="I51" s="184"/>
      <c r="J51" s="184"/>
      <c r="K51" s="184"/>
      <c r="L51" s="184"/>
      <c r="M51" s="184"/>
      <c r="N51" s="184"/>
      <c r="O51" s="184"/>
      <c r="P51" s="185"/>
    </row>
    <row r="52" spans="2:16" ht="15" thickBot="1" x14ac:dyDescent="0.25"/>
    <row r="53" spans="2:16" ht="24" customHeight="1" x14ac:dyDescent="0.2">
      <c r="B53" s="186" t="s">
        <v>34</v>
      </c>
      <c r="C53" s="187"/>
      <c r="D53" s="187"/>
      <c r="E53" s="187"/>
      <c r="F53" s="187"/>
      <c r="G53" s="187"/>
      <c r="H53" s="187"/>
      <c r="I53" s="187"/>
      <c r="J53" s="187"/>
      <c r="K53" s="187"/>
      <c r="L53" s="187"/>
      <c r="M53" s="187"/>
      <c r="N53" s="187"/>
      <c r="O53" s="187"/>
      <c r="P53" s="188"/>
    </row>
    <row r="54" spans="2:16" ht="15" thickBot="1" x14ac:dyDescent="0.25">
      <c r="B54" s="189" t="s">
        <v>51</v>
      </c>
      <c r="C54" s="190"/>
      <c r="D54" s="190"/>
      <c r="E54" s="190"/>
      <c r="F54" s="190"/>
      <c r="G54" s="190"/>
      <c r="H54" s="190"/>
      <c r="I54" s="190"/>
      <c r="J54" s="190"/>
      <c r="K54" s="190"/>
      <c r="L54" s="190"/>
      <c r="M54" s="190"/>
      <c r="N54" s="190"/>
      <c r="O54" s="190"/>
      <c r="P54" s="191"/>
    </row>
    <row r="55" spans="2:16" ht="31.5" customHeight="1" x14ac:dyDescent="0.2">
      <c r="B55" s="21" t="s">
        <v>49</v>
      </c>
      <c r="C55" s="146">
        <v>2023</v>
      </c>
      <c r="D55" s="147"/>
      <c r="E55" s="146">
        <v>2024</v>
      </c>
      <c r="F55" s="147"/>
      <c r="G55" s="146">
        <v>2025</v>
      </c>
      <c r="H55" s="147"/>
      <c r="I55" s="146">
        <v>2026</v>
      </c>
      <c r="J55" s="147"/>
      <c r="K55" s="146">
        <v>2027</v>
      </c>
      <c r="L55" s="147"/>
      <c r="M55" s="146">
        <v>2028</v>
      </c>
      <c r="N55" s="147"/>
      <c r="O55" s="146">
        <v>2029</v>
      </c>
      <c r="P55" s="147"/>
    </row>
    <row r="56" spans="2:16" ht="47.25" x14ac:dyDescent="0.2">
      <c r="B56" s="22" t="s">
        <v>14</v>
      </c>
      <c r="C56" s="23" t="s">
        <v>69</v>
      </c>
      <c r="D56" s="24" t="s">
        <v>63</v>
      </c>
      <c r="E56" s="13" t="s">
        <v>69</v>
      </c>
      <c r="F56" s="24" t="s">
        <v>63</v>
      </c>
      <c r="G56" s="13" t="s">
        <v>69</v>
      </c>
      <c r="H56" s="24" t="s">
        <v>63</v>
      </c>
      <c r="I56" s="23" t="s">
        <v>69</v>
      </c>
      <c r="J56" s="24" t="s">
        <v>63</v>
      </c>
      <c r="K56" s="13" t="s">
        <v>69</v>
      </c>
      <c r="L56" s="24" t="s">
        <v>63</v>
      </c>
      <c r="M56" s="13" t="s">
        <v>69</v>
      </c>
      <c r="N56" s="24" t="s">
        <v>63</v>
      </c>
      <c r="O56" s="13" t="s">
        <v>69</v>
      </c>
      <c r="P56" s="24" t="s">
        <v>63</v>
      </c>
    </row>
    <row r="57" spans="2:16" ht="15.75" x14ac:dyDescent="0.2">
      <c r="B57" s="25" t="s">
        <v>15</v>
      </c>
      <c r="C57" s="87"/>
      <c r="D57" s="88"/>
      <c r="E57" s="89"/>
      <c r="F57" s="90"/>
      <c r="G57" s="89"/>
      <c r="H57" s="90"/>
      <c r="I57" s="87"/>
      <c r="J57" s="88"/>
      <c r="K57" s="89"/>
      <c r="L57" s="90"/>
      <c r="M57" s="89"/>
      <c r="N57" s="90"/>
      <c r="O57" s="89"/>
      <c r="P57" s="90"/>
    </row>
    <row r="58" spans="2:16" ht="15.75" x14ac:dyDescent="0.2">
      <c r="B58" s="25" t="s">
        <v>68</v>
      </c>
      <c r="C58" s="87"/>
      <c r="D58" s="88"/>
      <c r="E58" s="89"/>
      <c r="F58" s="90"/>
      <c r="G58" s="89"/>
      <c r="H58" s="90"/>
      <c r="I58" s="87"/>
      <c r="J58" s="88"/>
      <c r="K58" s="89"/>
      <c r="L58" s="90"/>
      <c r="M58" s="89"/>
      <c r="N58" s="90"/>
      <c r="O58" s="89"/>
      <c r="P58" s="90"/>
    </row>
    <row r="59" spans="2:16" ht="15.75" x14ac:dyDescent="0.2">
      <c r="B59" s="25" t="s">
        <v>0</v>
      </c>
      <c r="C59" s="87"/>
      <c r="D59" s="88"/>
      <c r="E59" s="89"/>
      <c r="F59" s="90"/>
      <c r="G59" s="89"/>
      <c r="H59" s="90"/>
      <c r="I59" s="87"/>
      <c r="J59" s="88"/>
      <c r="K59" s="89"/>
      <c r="L59" s="90"/>
      <c r="M59" s="89"/>
      <c r="N59" s="90"/>
      <c r="O59" s="89"/>
      <c r="P59" s="90"/>
    </row>
    <row r="60" spans="2:16" ht="15.75" x14ac:dyDescent="0.2">
      <c r="B60" s="25" t="s">
        <v>16</v>
      </c>
      <c r="C60" s="87"/>
      <c r="D60" s="88"/>
      <c r="E60" s="89"/>
      <c r="F60" s="90"/>
      <c r="G60" s="89"/>
      <c r="H60" s="90"/>
      <c r="I60" s="87"/>
      <c r="J60" s="88"/>
      <c r="K60" s="89"/>
      <c r="L60" s="90"/>
      <c r="M60" s="89"/>
      <c r="N60" s="90"/>
      <c r="O60" s="89"/>
      <c r="P60" s="90"/>
    </row>
    <row r="61" spans="2:16" ht="15.75" x14ac:dyDescent="0.2">
      <c r="B61" s="25" t="s">
        <v>2</v>
      </c>
      <c r="C61" s="87"/>
      <c r="D61" s="88"/>
      <c r="E61" s="89"/>
      <c r="F61" s="90"/>
      <c r="G61" s="89"/>
      <c r="H61" s="90"/>
      <c r="I61" s="87"/>
      <c r="J61" s="88"/>
      <c r="K61" s="89"/>
      <c r="L61" s="90"/>
      <c r="M61" s="89"/>
      <c r="N61" s="90"/>
      <c r="O61" s="89"/>
      <c r="P61" s="90"/>
    </row>
    <row r="62" spans="2:16" ht="15.75" x14ac:dyDescent="0.2">
      <c r="B62" s="26" t="s">
        <v>1</v>
      </c>
      <c r="C62" s="27">
        <f t="shared" ref="C62:H62" si="23">SUM(C57:C61)</f>
        <v>0</v>
      </c>
      <c r="D62" s="28">
        <f t="shared" si="23"/>
        <v>0</v>
      </c>
      <c r="E62" s="27">
        <f t="shared" si="23"/>
        <v>0</v>
      </c>
      <c r="F62" s="28">
        <f t="shared" si="23"/>
        <v>0</v>
      </c>
      <c r="G62" s="27">
        <f t="shared" si="23"/>
        <v>0</v>
      </c>
      <c r="H62" s="28">
        <f t="shared" si="23"/>
        <v>0</v>
      </c>
      <c r="I62" s="29">
        <f t="shared" ref="I62:N62" si="24">SUM(I57:I61)</f>
        <v>0</v>
      </c>
      <c r="J62" s="30">
        <f t="shared" si="24"/>
        <v>0</v>
      </c>
      <c r="K62" s="29">
        <f t="shared" si="24"/>
        <v>0</v>
      </c>
      <c r="L62" s="30">
        <f t="shared" si="24"/>
        <v>0</v>
      </c>
      <c r="M62" s="29">
        <f t="shared" si="24"/>
        <v>0</v>
      </c>
      <c r="N62" s="31">
        <f t="shared" si="24"/>
        <v>0</v>
      </c>
      <c r="O62" s="29">
        <f t="shared" ref="O62:P62" si="25">SUM(O57:O61)</f>
        <v>0</v>
      </c>
      <c r="P62" s="31">
        <f t="shared" si="25"/>
        <v>0</v>
      </c>
    </row>
    <row r="63" spans="2:16" ht="35.25" customHeight="1" thickBot="1" x14ac:dyDescent="0.25">
      <c r="B63" s="57" t="s">
        <v>99</v>
      </c>
      <c r="C63" s="180"/>
      <c r="D63" s="181"/>
      <c r="E63" s="181"/>
      <c r="F63" s="181"/>
      <c r="G63" s="181"/>
      <c r="H63" s="181"/>
      <c r="I63" s="181"/>
      <c r="J63" s="181"/>
      <c r="K63" s="181"/>
      <c r="L63" s="181"/>
      <c r="M63" s="181"/>
      <c r="N63" s="181"/>
      <c r="O63" s="181"/>
      <c r="P63" s="182"/>
    </row>
    <row r="64" spans="2:16" ht="16.5" customHeight="1" x14ac:dyDescent="0.2"/>
    <row r="65" spans="2:22" ht="15" thickBot="1" x14ac:dyDescent="0.25"/>
    <row r="66" spans="2:22" ht="27.75" customHeight="1" x14ac:dyDescent="0.2">
      <c r="B66" s="162" t="s">
        <v>33</v>
      </c>
      <c r="C66" s="163"/>
      <c r="D66" s="163"/>
      <c r="E66" s="163"/>
      <c r="F66" s="163"/>
      <c r="G66" s="163"/>
      <c r="H66" s="163"/>
      <c r="I66" s="163"/>
      <c r="J66" s="163"/>
      <c r="K66" s="163"/>
      <c r="L66" s="163"/>
      <c r="M66" s="163"/>
      <c r="N66" s="163"/>
      <c r="O66" s="163"/>
      <c r="P66" s="164"/>
    </row>
    <row r="67" spans="2:22" ht="15" thickBot="1" x14ac:dyDescent="0.25">
      <c r="B67" s="165"/>
      <c r="C67" s="166"/>
      <c r="D67" s="166"/>
      <c r="E67" s="166"/>
      <c r="F67" s="166"/>
      <c r="G67" s="166"/>
      <c r="H67" s="166"/>
      <c r="I67" s="166"/>
      <c r="J67" s="166"/>
      <c r="K67" s="166"/>
      <c r="L67" s="166"/>
      <c r="M67" s="166"/>
      <c r="N67" s="166"/>
      <c r="O67" s="166"/>
      <c r="P67" s="167"/>
    </row>
    <row r="68" spans="2:22" ht="62.25" customHeight="1" thickBot="1" x14ac:dyDescent="0.25">
      <c r="B68" s="102"/>
      <c r="C68" s="103"/>
      <c r="D68" s="32">
        <v>2023</v>
      </c>
      <c r="E68" s="153">
        <v>2024</v>
      </c>
      <c r="F68" s="154"/>
      <c r="G68" s="153">
        <v>2025</v>
      </c>
      <c r="H68" s="154"/>
      <c r="I68" s="153">
        <v>2026</v>
      </c>
      <c r="J68" s="154"/>
      <c r="K68" s="153">
        <v>2027</v>
      </c>
      <c r="L68" s="154"/>
      <c r="M68" s="153">
        <v>2028</v>
      </c>
      <c r="N68" s="154"/>
      <c r="O68" s="153">
        <v>2029</v>
      </c>
      <c r="P68" s="154"/>
    </row>
    <row r="69" spans="2:22" ht="29.25" customHeight="1" x14ac:dyDescent="0.2">
      <c r="B69" s="100"/>
      <c r="C69" s="101"/>
      <c r="D69" s="33" t="s">
        <v>81</v>
      </c>
      <c r="E69" s="33" t="s">
        <v>36</v>
      </c>
      <c r="F69" s="34" t="s">
        <v>37</v>
      </c>
      <c r="G69" s="33" t="s">
        <v>36</v>
      </c>
      <c r="H69" s="34" t="s">
        <v>37</v>
      </c>
      <c r="I69" s="33" t="s">
        <v>36</v>
      </c>
      <c r="J69" s="34" t="s">
        <v>37</v>
      </c>
      <c r="K69" s="35" t="s">
        <v>36</v>
      </c>
      <c r="L69" s="34" t="s">
        <v>37</v>
      </c>
      <c r="M69" s="35" t="s">
        <v>36</v>
      </c>
      <c r="N69" s="34" t="s">
        <v>37</v>
      </c>
      <c r="O69" s="35" t="s">
        <v>36</v>
      </c>
      <c r="P69" s="34" t="s">
        <v>37</v>
      </c>
    </row>
    <row r="70" spans="2:22" ht="37.5" customHeight="1" x14ac:dyDescent="0.2">
      <c r="B70" s="36" t="s">
        <v>48</v>
      </c>
      <c r="C70" s="37"/>
      <c r="D70" s="38" t="str">
        <f>IFERROR((D75+D74)/D73*1000,"..")</f>
        <v>..</v>
      </c>
      <c r="E70" s="39" t="str">
        <f>IFERROR((E75+E74)/E73*1000,"..")</f>
        <v>..</v>
      </c>
      <c r="F70" s="40" t="str">
        <f>IFERROR(E70/D70-1,"..")</f>
        <v>..</v>
      </c>
      <c r="G70" s="39" t="str">
        <f>IFERROR((G75+G74)/G73*1000,"..")</f>
        <v>..</v>
      </c>
      <c r="H70" s="40" t="str">
        <f>IFERROR(G70/E70-1,"..")</f>
        <v>..</v>
      </c>
      <c r="I70" s="39" t="str">
        <f>IFERROR((I75+I74)/I73*1000,"..")</f>
        <v>..</v>
      </c>
      <c r="J70" s="40" t="str">
        <f>IFERROR(I70/G70-1,"..")</f>
        <v>..</v>
      </c>
      <c r="K70" s="41" t="str">
        <f>IFERROR((K75+K74)/K73*1000,"..")</f>
        <v>..</v>
      </c>
      <c r="L70" s="40" t="str">
        <f>IFERROR(K70/I70-1,"..")</f>
        <v>..</v>
      </c>
      <c r="M70" s="42" t="str">
        <f>IFERROR((M75+M74)/M73*1000,"..")</f>
        <v>..</v>
      </c>
      <c r="N70" s="40" t="str">
        <f>IFERROR(M70/K70-1,"..")</f>
        <v>..</v>
      </c>
      <c r="O70" s="42" t="str">
        <f>IFERROR((O75+O74)/O73*1000,"..")</f>
        <v>..</v>
      </c>
      <c r="P70" s="40" t="str">
        <f>IFERROR(O70/M70-1,"..")</f>
        <v>..</v>
      </c>
    </row>
    <row r="71" spans="2:22" ht="15.75" x14ac:dyDescent="0.2">
      <c r="B71" s="98"/>
      <c r="C71" s="43"/>
      <c r="D71" s="44"/>
      <c r="E71" s="45"/>
      <c r="F71" s="46"/>
      <c r="G71" s="45"/>
      <c r="H71" s="46"/>
      <c r="I71" s="46"/>
      <c r="J71" s="46"/>
      <c r="K71" s="46"/>
      <c r="L71" s="46"/>
      <c r="M71" s="46"/>
      <c r="N71" s="46"/>
      <c r="O71" s="46"/>
      <c r="P71" s="47"/>
    </row>
    <row r="72" spans="2:22" ht="15.75" x14ac:dyDescent="0.2">
      <c r="B72" s="99" t="s">
        <v>17</v>
      </c>
      <c r="C72" s="48"/>
      <c r="D72" s="49"/>
      <c r="E72" s="50"/>
      <c r="F72" s="50"/>
      <c r="G72" s="50"/>
      <c r="H72" s="50"/>
      <c r="I72" s="50"/>
      <c r="J72" s="50"/>
      <c r="K72" s="50"/>
      <c r="L72" s="50"/>
      <c r="M72" s="50"/>
      <c r="N72" s="50"/>
      <c r="O72" s="50"/>
      <c r="P72" s="51"/>
    </row>
    <row r="73" spans="2:22" ht="30.75" x14ac:dyDescent="0.2">
      <c r="B73" s="52" t="s">
        <v>98</v>
      </c>
      <c r="C73" s="53"/>
      <c r="D73" s="54">
        <f>C62*182*12</f>
        <v>0</v>
      </c>
      <c r="E73" s="144">
        <f>E62*182*12</f>
        <v>0</v>
      </c>
      <c r="F73" s="145"/>
      <c r="G73" s="144">
        <f>G62*182*12</f>
        <v>0</v>
      </c>
      <c r="H73" s="145"/>
      <c r="I73" s="144">
        <f>I62*182*12</f>
        <v>0</v>
      </c>
      <c r="J73" s="145"/>
      <c r="K73" s="144">
        <f>K62*182*12</f>
        <v>0</v>
      </c>
      <c r="L73" s="145"/>
      <c r="M73" s="144">
        <f>M62*182*12</f>
        <v>0</v>
      </c>
      <c r="N73" s="145"/>
      <c r="O73" s="144">
        <f>O62*182*12</f>
        <v>0</v>
      </c>
      <c r="P73" s="145"/>
    </row>
    <row r="74" spans="2:22" ht="15.75" x14ac:dyDescent="0.2">
      <c r="B74" s="55" t="s">
        <v>40</v>
      </c>
      <c r="C74" s="53"/>
      <c r="D74" s="56">
        <f>D62</f>
        <v>0</v>
      </c>
      <c r="E74" s="150">
        <f>F62</f>
        <v>0</v>
      </c>
      <c r="F74" s="151"/>
      <c r="G74" s="150">
        <f>H62</f>
        <v>0</v>
      </c>
      <c r="H74" s="151"/>
      <c r="I74" s="150">
        <f t="shared" ref="I74" si="26">J62</f>
        <v>0</v>
      </c>
      <c r="J74" s="151"/>
      <c r="K74" s="150">
        <f t="shared" ref="K74" si="27">L62</f>
        <v>0</v>
      </c>
      <c r="L74" s="151"/>
      <c r="M74" s="150">
        <f t="shared" ref="M74" si="28">N62</f>
        <v>0</v>
      </c>
      <c r="N74" s="151"/>
      <c r="O74" s="150">
        <f t="shared" ref="O74" si="29">P62</f>
        <v>0</v>
      </c>
      <c r="P74" s="151"/>
    </row>
    <row r="75" spans="2:22" ht="30.75" customHeight="1" thickBot="1" x14ac:dyDescent="0.25">
      <c r="B75" s="57" t="s">
        <v>88</v>
      </c>
      <c r="C75" s="58"/>
      <c r="D75" s="59">
        <f>C49</f>
        <v>0</v>
      </c>
      <c r="E75" s="138">
        <f>E49</f>
        <v>0</v>
      </c>
      <c r="F75" s="139"/>
      <c r="G75" s="138">
        <f t="shared" ref="G75" si="30">G49</f>
        <v>0</v>
      </c>
      <c r="H75" s="139"/>
      <c r="I75" s="138">
        <f t="shared" ref="I75" si="31">I49</f>
        <v>0</v>
      </c>
      <c r="J75" s="139"/>
      <c r="K75" s="138">
        <f t="shared" ref="K75" si="32">K49</f>
        <v>0</v>
      </c>
      <c r="L75" s="139"/>
      <c r="M75" s="138">
        <f t="shared" ref="M75" si="33">M49</f>
        <v>0</v>
      </c>
      <c r="N75" s="139"/>
      <c r="O75" s="138">
        <f t="shared" ref="O75" si="34">O49</f>
        <v>0</v>
      </c>
      <c r="P75" s="139"/>
    </row>
    <row r="76" spans="2:22" ht="15.75" x14ac:dyDescent="0.2">
      <c r="E76" s="6"/>
      <c r="F76" s="6"/>
      <c r="G76" s="6"/>
      <c r="H76" s="6"/>
      <c r="I76" s="60"/>
      <c r="J76" s="60"/>
      <c r="K76" s="60"/>
      <c r="L76" s="60"/>
      <c r="M76" s="6"/>
    </row>
    <row r="77" spans="2:22" ht="16.5" thickBot="1" x14ac:dyDescent="0.25">
      <c r="E77" s="6"/>
      <c r="F77" s="6"/>
      <c r="G77" s="6"/>
      <c r="H77" s="6"/>
      <c r="I77" s="60"/>
      <c r="J77" s="60"/>
      <c r="K77" s="60"/>
      <c r="L77" s="60"/>
      <c r="M77" s="6"/>
    </row>
    <row r="78" spans="2:22" ht="15.75" customHeight="1" x14ac:dyDescent="0.2">
      <c r="B78" s="206" t="s">
        <v>35</v>
      </c>
      <c r="C78" s="207"/>
      <c r="D78" s="207"/>
      <c r="E78" s="207"/>
      <c r="F78" s="207"/>
      <c r="G78" s="207"/>
      <c r="H78" s="207"/>
      <c r="I78" s="207"/>
      <c r="J78" s="207"/>
      <c r="K78" s="207"/>
      <c r="L78" s="207"/>
      <c r="M78" s="207"/>
      <c r="N78" s="207"/>
      <c r="O78" s="207"/>
      <c r="P78" s="208"/>
      <c r="U78" s="120" t="s">
        <v>96</v>
      </c>
      <c r="V78" s="121"/>
    </row>
    <row r="79" spans="2:22" ht="16.5" thickBot="1" x14ac:dyDescent="0.25">
      <c r="B79" s="61"/>
      <c r="C79" s="7"/>
      <c r="D79" s="7"/>
      <c r="E79" s="7"/>
      <c r="F79" s="7"/>
      <c r="G79" s="7"/>
      <c r="H79" s="7"/>
      <c r="I79" s="62"/>
      <c r="J79" s="62"/>
      <c r="K79" s="62"/>
      <c r="L79" s="62"/>
      <c r="M79" s="7"/>
      <c r="N79" s="7"/>
      <c r="O79" s="7"/>
      <c r="P79" s="104"/>
      <c r="U79" s="122"/>
      <c r="V79" s="123"/>
    </row>
    <row r="80" spans="2:22" ht="62.25" customHeight="1" x14ac:dyDescent="0.2">
      <c r="B80" s="63" t="s">
        <v>58</v>
      </c>
      <c r="C80" s="64" t="s">
        <v>82</v>
      </c>
      <c r="D80" s="212" t="s">
        <v>57</v>
      </c>
      <c r="E80" s="213"/>
      <c r="F80" s="213"/>
      <c r="G80" s="213"/>
      <c r="H80" s="213"/>
      <c r="I80" s="213"/>
      <c r="J80" s="214"/>
      <c r="K80" s="65" t="s">
        <v>56</v>
      </c>
      <c r="L80" s="65" t="s">
        <v>55</v>
      </c>
      <c r="M80" s="66" t="s">
        <v>61</v>
      </c>
      <c r="N80" s="66" t="s">
        <v>44</v>
      </c>
      <c r="O80" s="66" t="s">
        <v>62</v>
      </c>
      <c r="P80" s="67" t="s">
        <v>60</v>
      </c>
      <c r="U80" s="107" t="s">
        <v>93</v>
      </c>
      <c r="V80" s="107" t="s">
        <v>94</v>
      </c>
    </row>
    <row r="81" spans="2:23" ht="15.75" customHeight="1" x14ac:dyDescent="0.2">
      <c r="B81" s="92" t="s">
        <v>59</v>
      </c>
      <c r="C81" s="93"/>
      <c r="D81" s="205"/>
      <c r="E81" s="205"/>
      <c r="F81" s="205"/>
      <c r="G81" s="205"/>
      <c r="H81" s="205"/>
      <c r="I81" s="205"/>
      <c r="J81" s="205"/>
      <c r="K81" s="94"/>
      <c r="L81" s="95"/>
      <c r="M81" s="91"/>
      <c r="N81" s="68" t="str">
        <f t="shared" ref="N81:N93" si="35">IFERROR(M81/$M$94,"..")</f>
        <v>..</v>
      </c>
      <c r="O81" s="91"/>
      <c r="P81" s="69" t="str">
        <f t="shared" ref="P81:P93" si="36">IFERROR(O81/M81,"..")</f>
        <v>..</v>
      </c>
      <c r="U81" s="108"/>
      <c r="V81" s="108">
        <f t="shared" ref="V81:V93" si="37">U81*0.5</f>
        <v>0</v>
      </c>
    </row>
    <row r="82" spans="2:23" ht="15.75" customHeight="1" x14ac:dyDescent="0.2">
      <c r="B82" s="92" t="s">
        <v>59</v>
      </c>
      <c r="C82" s="93"/>
      <c r="D82" s="205"/>
      <c r="E82" s="205"/>
      <c r="F82" s="205"/>
      <c r="G82" s="205"/>
      <c r="H82" s="205"/>
      <c r="I82" s="205"/>
      <c r="J82" s="205"/>
      <c r="K82" s="94"/>
      <c r="L82" s="95"/>
      <c r="M82" s="91"/>
      <c r="N82" s="68" t="str">
        <f t="shared" si="35"/>
        <v>..</v>
      </c>
      <c r="O82" s="91"/>
      <c r="P82" s="69" t="str">
        <f t="shared" si="36"/>
        <v>..</v>
      </c>
      <c r="U82" s="108"/>
      <c r="V82" s="108">
        <f t="shared" si="37"/>
        <v>0</v>
      </c>
    </row>
    <row r="83" spans="2:23" ht="15.75" customHeight="1" x14ac:dyDescent="0.2">
      <c r="B83" s="92" t="s">
        <v>59</v>
      </c>
      <c r="C83" s="93"/>
      <c r="D83" s="205"/>
      <c r="E83" s="205"/>
      <c r="F83" s="205"/>
      <c r="G83" s="205"/>
      <c r="H83" s="205"/>
      <c r="I83" s="205"/>
      <c r="J83" s="205"/>
      <c r="K83" s="94"/>
      <c r="L83" s="95"/>
      <c r="M83" s="91"/>
      <c r="N83" s="68" t="str">
        <f t="shared" si="35"/>
        <v>..</v>
      </c>
      <c r="O83" s="91"/>
      <c r="P83" s="69" t="str">
        <f t="shared" si="36"/>
        <v>..</v>
      </c>
      <c r="U83" s="108"/>
      <c r="V83" s="108">
        <f t="shared" si="37"/>
        <v>0</v>
      </c>
    </row>
    <row r="84" spans="2:23" ht="15.75" customHeight="1" x14ac:dyDescent="0.2">
      <c r="B84" s="92" t="s">
        <v>59</v>
      </c>
      <c r="C84" s="93"/>
      <c r="D84" s="205"/>
      <c r="E84" s="205"/>
      <c r="F84" s="205"/>
      <c r="G84" s="205"/>
      <c r="H84" s="205"/>
      <c r="I84" s="205"/>
      <c r="J84" s="205"/>
      <c r="K84" s="94"/>
      <c r="L84" s="95"/>
      <c r="M84" s="91"/>
      <c r="N84" s="68" t="str">
        <f t="shared" si="35"/>
        <v>..</v>
      </c>
      <c r="O84" s="91"/>
      <c r="P84" s="69" t="str">
        <f t="shared" si="36"/>
        <v>..</v>
      </c>
      <c r="U84" s="108"/>
      <c r="V84" s="108">
        <f t="shared" si="37"/>
        <v>0</v>
      </c>
    </row>
    <row r="85" spans="2:23" ht="15.75" customHeight="1" x14ac:dyDescent="0.2">
      <c r="B85" s="92" t="s">
        <v>59</v>
      </c>
      <c r="C85" s="93"/>
      <c r="D85" s="205"/>
      <c r="E85" s="205"/>
      <c r="F85" s="205"/>
      <c r="G85" s="205"/>
      <c r="H85" s="205"/>
      <c r="I85" s="205"/>
      <c r="J85" s="205"/>
      <c r="K85" s="94"/>
      <c r="L85" s="95"/>
      <c r="M85" s="91"/>
      <c r="N85" s="68" t="str">
        <f t="shared" si="35"/>
        <v>..</v>
      </c>
      <c r="O85" s="91"/>
      <c r="P85" s="69" t="str">
        <f t="shared" si="36"/>
        <v>..</v>
      </c>
      <c r="U85" s="108"/>
      <c r="V85" s="108">
        <f t="shared" si="37"/>
        <v>0</v>
      </c>
    </row>
    <row r="86" spans="2:23" ht="15.75" customHeight="1" x14ac:dyDescent="0.2">
      <c r="B86" s="92" t="s">
        <v>59</v>
      </c>
      <c r="C86" s="93"/>
      <c r="D86" s="205"/>
      <c r="E86" s="205"/>
      <c r="F86" s="205"/>
      <c r="G86" s="205"/>
      <c r="H86" s="205"/>
      <c r="I86" s="205"/>
      <c r="J86" s="205"/>
      <c r="K86" s="94"/>
      <c r="L86" s="95"/>
      <c r="M86" s="91"/>
      <c r="N86" s="68" t="str">
        <f t="shared" si="35"/>
        <v>..</v>
      </c>
      <c r="O86" s="91"/>
      <c r="P86" s="69" t="str">
        <f t="shared" si="36"/>
        <v>..</v>
      </c>
      <c r="U86" s="108"/>
      <c r="V86" s="108">
        <f t="shared" si="37"/>
        <v>0</v>
      </c>
    </row>
    <row r="87" spans="2:23" ht="15.75" customHeight="1" x14ac:dyDescent="0.2">
      <c r="B87" s="92" t="s">
        <v>59</v>
      </c>
      <c r="C87" s="93"/>
      <c r="D87" s="205"/>
      <c r="E87" s="205"/>
      <c r="F87" s="205"/>
      <c r="G87" s="205"/>
      <c r="H87" s="205"/>
      <c r="I87" s="205"/>
      <c r="J87" s="205"/>
      <c r="K87" s="94"/>
      <c r="L87" s="95"/>
      <c r="M87" s="91"/>
      <c r="N87" s="68" t="str">
        <f t="shared" si="35"/>
        <v>..</v>
      </c>
      <c r="O87" s="91"/>
      <c r="P87" s="69" t="str">
        <f t="shared" si="36"/>
        <v>..</v>
      </c>
      <c r="U87" s="108"/>
      <c r="V87" s="108">
        <f t="shared" si="37"/>
        <v>0</v>
      </c>
    </row>
    <row r="88" spans="2:23" ht="15.75" customHeight="1" x14ac:dyDescent="0.2">
      <c r="B88" s="92" t="s">
        <v>59</v>
      </c>
      <c r="C88" s="93"/>
      <c r="D88" s="205"/>
      <c r="E88" s="205"/>
      <c r="F88" s="205"/>
      <c r="G88" s="205"/>
      <c r="H88" s="205"/>
      <c r="I88" s="205"/>
      <c r="J88" s="205"/>
      <c r="K88" s="94"/>
      <c r="L88" s="95"/>
      <c r="M88" s="91"/>
      <c r="N88" s="68" t="str">
        <f t="shared" si="35"/>
        <v>..</v>
      </c>
      <c r="O88" s="91"/>
      <c r="P88" s="69" t="str">
        <f t="shared" si="36"/>
        <v>..</v>
      </c>
      <c r="U88" s="108"/>
      <c r="V88" s="108">
        <f t="shared" si="37"/>
        <v>0</v>
      </c>
    </row>
    <row r="89" spans="2:23" ht="15.75" customHeight="1" x14ac:dyDescent="0.2">
      <c r="B89" s="92" t="s">
        <v>59</v>
      </c>
      <c r="C89" s="93"/>
      <c r="D89" s="205"/>
      <c r="E89" s="205"/>
      <c r="F89" s="205"/>
      <c r="G89" s="205"/>
      <c r="H89" s="205"/>
      <c r="I89" s="205"/>
      <c r="J89" s="205"/>
      <c r="K89" s="94"/>
      <c r="L89" s="95"/>
      <c r="M89" s="91"/>
      <c r="N89" s="68" t="str">
        <f t="shared" si="35"/>
        <v>..</v>
      </c>
      <c r="O89" s="91"/>
      <c r="P89" s="69" t="str">
        <f t="shared" si="36"/>
        <v>..</v>
      </c>
      <c r="U89" s="108"/>
      <c r="V89" s="108">
        <f t="shared" si="37"/>
        <v>0</v>
      </c>
    </row>
    <row r="90" spans="2:23" ht="15.75" customHeight="1" x14ac:dyDescent="0.2">
      <c r="B90" s="92" t="s">
        <v>59</v>
      </c>
      <c r="C90" s="93"/>
      <c r="D90" s="205"/>
      <c r="E90" s="205"/>
      <c r="F90" s="205"/>
      <c r="G90" s="205"/>
      <c r="H90" s="205"/>
      <c r="I90" s="205"/>
      <c r="J90" s="205"/>
      <c r="K90" s="94"/>
      <c r="L90" s="96"/>
      <c r="M90" s="91"/>
      <c r="N90" s="68" t="str">
        <f t="shared" si="35"/>
        <v>..</v>
      </c>
      <c r="O90" s="91"/>
      <c r="P90" s="69" t="str">
        <f t="shared" si="36"/>
        <v>..</v>
      </c>
      <c r="U90" s="108"/>
      <c r="V90" s="108">
        <f t="shared" si="37"/>
        <v>0</v>
      </c>
    </row>
    <row r="91" spans="2:23" ht="15.75" customHeight="1" x14ac:dyDescent="0.2">
      <c r="B91" s="92" t="s">
        <v>59</v>
      </c>
      <c r="C91" s="93"/>
      <c r="D91" s="205"/>
      <c r="E91" s="205"/>
      <c r="F91" s="205"/>
      <c r="G91" s="205"/>
      <c r="H91" s="205"/>
      <c r="I91" s="205"/>
      <c r="J91" s="205"/>
      <c r="K91" s="94"/>
      <c r="L91" s="96"/>
      <c r="M91" s="91"/>
      <c r="N91" s="68" t="str">
        <f t="shared" si="35"/>
        <v>..</v>
      </c>
      <c r="O91" s="91"/>
      <c r="P91" s="69" t="str">
        <f t="shared" si="36"/>
        <v>..</v>
      </c>
      <c r="U91" s="108"/>
      <c r="V91" s="108">
        <f t="shared" si="37"/>
        <v>0</v>
      </c>
    </row>
    <row r="92" spans="2:23" ht="15.75" customHeight="1" x14ac:dyDescent="0.2">
      <c r="B92" s="92" t="s">
        <v>59</v>
      </c>
      <c r="C92" s="93"/>
      <c r="D92" s="205"/>
      <c r="E92" s="205"/>
      <c r="F92" s="205"/>
      <c r="G92" s="205"/>
      <c r="H92" s="205"/>
      <c r="I92" s="205"/>
      <c r="J92" s="205"/>
      <c r="K92" s="94"/>
      <c r="L92" s="95"/>
      <c r="M92" s="91"/>
      <c r="N92" s="68" t="str">
        <f t="shared" si="35"/>
        <v>..</v>
      </c>
      <c r="O92" s="91"/>
      <c r="P92" s="69" t="str">
        <f t="shared" si="36"/>
        <v>..</v>
      </c>
      <c r="U92" s="108"/>
      <c r="V92" s="108">
        <f t="shared" si="37"/>
        <v>0</v>
      </c>
    </row>
    <row r="93" spans="2:23" ht="15.75" customHeight="1" x14ac:dyDescent="0.2">
      <c r="B93" s="92" t="s">
        <v>59</v>
      </c>
      <c r="C93" s="93"/>
      <c r="D93" s="205"/>
      <c r="E93" s="205"/>
      <c r="F93" s="205"/>
      <c r="G93" s="205"/>
      <c r="H93" s="205"/>
      <c r="I93" s="205"/>
      <c r="J93" s="205"/>
      <c r="K93" s="94"/>
      <c r="L93" s="97"/>
      <c r="M93" s="91"/>
      <c r="N93" s="68" t="str">
        <f t="shared" si="35"/>
        <v>..</v>
      </c>
      <c r="O93" s="91"/>
      <c r="P93" s="69" t="str">
        <f t="shared" si="36"/>
        <v>..</v>
      </c>
      <c r="U93" s="108"/>
      <c r="V93" s="108">
        <f t="shared" si="37"/>
        <v>0</v>
      </c>
    </row>
    <row r="94" spans="2:23" ht="15.75" customHeight="1" thickBot="1" x14ac:dyDescent="0.25">
      <c r="B94" s="70" t="s">
        <v>1</v>
      </c>
      <c r="C94" s="71"/>
      <c r="D94" s="72"/>
      <c r="E94" s="73"/>
      <c r="F94" s="73"/>
      <c r="G94" s="73"/>
      <c r="H94" s="73"/>
      <c r="I94" s="73"/>
      <c r="J94" s="73"/>
      <c r="K94" s="74"/>
      <c r="L94" s="75"/>
      <c r="M94" s="76">
        <f>IF(SUM(M81:M93)&gt;1000," שיעור הסיוע יהיה בשיעור של 50% מסך הפרויקט, בהתאם לתכנית המאושרת ועד לתקרה של 500 אלש""ח",SUM(M81:M93))</f>
        <v>0</v>
      </c>
      <c r="N94" s="74">
        <f>SUM(N81:N93)</f>
        <v>0</v>
      </c>
      <c r="O94" s="77">
        <f>SUM(O81:O93)</f>
        <v>0</v>
      </c>
      <c r="P94" s="78" t="str">
        <f>IFERROR(IF(O94/M94&gt;0.5,"שיעור הסיוע לא יעלה על 35%",O94/M94),"..")</f>
        <v>..</v>
      </c>
      <c r="Q94" s="79"/>
      <c r="U94" s="109">
        <f>IF(SUM(U81:U93)&gt;1000," שיעור הסיוע יהיה בשיעור של 50% מסך פרויקט המחשוב, בהתאם לתכנית המאושרת ועד לתקרה של 500 אלש""ח",SUM(U81:U93))</f>
        <v>0</v>
      </c>
      <c r="V94" s="110">
        <f>SUM(V81:V93)</f>
        <v>0</v>
      </c>
      <c r="W94" s="8" t="e">
        <f>V94/U94</f>
        <v>#DIV/0!</v>
      </c>
    </row>
    <row r="98" spans="2:16" ht="15" thickBot="1" x14ac:dyDescent="0.25"/>
    <row r="99" spans="2:16" ht="15.75" x14ac:dyDescent="0.2">
      <c r="B99" s="186" t="s">
        <v>70</v>
      </c>
      <c r="C99" s="187"/>
      <c r="D99" s="187"/>
      <c r="E99" s="187"/>
      <c r="F99" s="187"/>
      <c r="G99" s="187"/>
      <c r="H99" s="187"/>
      <c r="I99" s="187"/>
      <c r="J99" s="187"/>
      <c r="K99" s="187"/>
      <c r="L99" s="187"/>
      <c r="M99" s="187"/>
      <c r="N99" s="187"/>
      <c r="O99" s="187"/>
      <c r="P99" s="188"/>
    </row>
    <row r="100" spans="2:16" ht="15" thickBot="1" x14ac:dyDescent="0.25">
      <c r="B100" s="221" t="s">
        <v>106</v>
      </c>
      <c r="C100" s="222"/>
      <c r="D100" s="222"/>
      <c r="E100" s="222"/>
      <c r="F100" s="222"/>
      <c r="G100" s="222"/>
      <c r="H100" s="222"/>
      <c r="I100" s="222"/>
      <c r="J100" s="222"/>
      <c r="K100" s="222"/>
      <c r="L100" s="222"/>
      <c r="M100" s="222"/>
      <c r="N100" s="222"/>
      <c r="O100" s="222"/>
      <c r="P100" s="223"/>
    </row>
    <row r="101" spans="2:16" ht="15.75" customHeight="1" x14ac:dyDescent="0.2">
      <c r="B101" s="80" t="s">
        <v>71</v>
      </c>
      <c r="C101" s="128"/>
      <c r="D101" s="128"/>
      <c r="E101" s="116"/>
      <c r="F101" s="116"/>
      <c r="G101" s="116">
        <v>2026</v>
      </c>
      <c r="H101" s="116"/>
      <c r="I101" s="116">
        <v>2027</v>
      </c>
      <c r="J101" s="116"/>
      <c r="K101" s="116">
        <v>2028</v>
      </c>
      <c r="L101" s="116"/>
      <c r="M101" s="116"/>
      <c r="N101" s="116"/>
      <c r="O101" s="116" t="s">
        <v>1</v>
      </c>
      <c r="P101" s="117"/>
    </row>
    <row r="102" spans="2:16" ht="15.75" x14ac:dyDescent="0.2">
      <c r="B102" s="81" t="s">
        <v>92</v>
      </c>
      <c r="C102" s="129"/>
      <c r="D102" s="129"/>
      <c r="E102" s="129"/>
      <c r="F102" s="129"/>
      <c r="G102" s="130"/>
      <c r="H102" s="131"/>
      <c r="I102" s="132"/>
      <c r="J102" s="132"/>
      <c r="K102" s="132"/>
      <c r="L102" s="132"/>
      <c r="M102" s="132"/>
      <c r="N102" s="132"/>
      <c r="O102" s="194">
        <f>SUM(G102:N102)</f>
        <v>0</v>
      </c>
      <c r="P102" s="195"/>
    </row>
    <row r="103" spans="2:16" ht="16.5" thickBot="1" x14ac:dyDescent="0.25">
      <c r="B103" s="82" t="s">
        <v>91</v>
      </c>
      <c r="C103" s="135" t="s">
        <v>42</v>
      </c>
      <c r="D103" s="135"/>
      <c r="E103" s="136" t="s">
        <v>42</v>
      </c>
      <c r="F103" s="137"/>
      <c r="G103" s="118">
        <f>IFERROR(G102*$M$94,"..")</f>
        <v>0</v>
      </c>
      <c r="H103" s="119"/>
      <c r="I103" s="118">
        <f>IFERROR(I102*$M$94,"..")</f>
        <v>0</v>
      </c>
      <c r="J103" s="119"/>
      <c r="K103" s="118">
        <f>IFERROR(K102*$M$94,"..")</f>
        <v>0</v>
      </c>
      <c r="L103" s="119"/>
      <c r="M103" s="118"/>
      <c r="N103" s="119"/>
      <c r="O103" s="196">
        <f>SUM(G103:N103)</f>
        <v>0</v>
      </c>
      <c r="P103" s="197"/>
    </row>
    <row r="104" spans="2:16" ht="31.5" customHeight="1" thickBot="1" x14ac:dyDescent="0.25">
      <c r="B104" s="83" t="s">
        <v>95</v>
      </c>
      <c r="C104" s="224"/>
      <c r="D104" s="225"/>
      <c r="E104" s="225"/>
      <c r="F104" s="225"/>
      <c r="G104" s="225"/>
      <c r="H104" s="225"/>
      <c r="I104" s="225"/>
      <c r="J104" s="225"/>
      <c r="K104" s="225"/>
      <c r="L104" s="225"/>
      <c r="M104" s="225"/>
      <c r="N104" s="225"/>
      <c r="O104" s="225"/>
      <c r="P104" s="226"/>
    </row>
    <row r="106" spans="2:16" ht="15" thickBot="1" x14ac:dyDescent="0.25"/>
    <row r="107" spans="2:16" ht="15.75" customHeight="1" x14ac:dyDescent="0.2">
      <c r="B107" s="186" t="s">
        <v>45</v>
      </c>
      <c r="C107" s="187"/>
      <c r="D107" s="187"/>
      <c r="E107" s="187"/>
      <c r="F107" s="187"/>
      <c r="G107" s="187"/>
      <c r="H107" s="187"/>
      <c r="I107" s="187"/>
      <c r="J107" s="187"/>
      <c r="K107" s="187"/>
      <c r="L107" s="187"/>
      <c r="M107" s="187"/>
      <c r="N107" s="187"/>
      <c r="O107" s="187"/>
      <c r="P107" s="188"/>
    </row>
    <row r="108" spans="2:16" ht="15" thickBot="1" x14ac:dyDescent="0.25">
      <c r="B108" s="17" t="s">
        <v>52</v>
      </c>
      <c r="C108" s="3"/>
      <c r="D108" s="3"/>
      <c r="E108" s="3"/>
      <c r="F108" s="3"/>
      <c r="G108" s="3"/>
      <c r="H108" s="3"/>
      <c r="I108" s="84"/>
      <c r="J108" s="84"/>
      <c r="K108" s="84"/>
      <c r="L108" s="84"/>
      <c r="M108" s="84"/>
      <c r="N108" s="84"/>
      <c r="O108" s="84"/>
      <c r="P108" s="85"/>
    </row>
    <row r="109" spans="2:16" ht="15.75" x14ac:dyDescent="0.2">
      <c r="B109" s="86"/>
      <c r="C109" s="116" t="s">
        <v>18</v>
      </c>
      <c r="D109" s="116"/>
      <c r="E109" s="116" t="s">
        <v>65</v>
      </c>
      <c r="F109" s="116"/>
      <c r="G109" s="116" t="s">
        <v>38</v>
      </c>
      <c r="H109" s="116"/>
      <c r="I109" s="116"/>
      <c r="J109" s="116"/>
      <c r="K109" s="116"/>
      <c r="L109" s="116"/>
      <c r="M109" s="116"/>
      <c r="N109" s="116"/>
      <c r="O109" s="116"/>
      <c r="P109" s="117"/>
    </row>
    <row r="110" spans="2:16" ht="15.75" x14ac:dyDescent="0.2">
      <c r="B110" s="16" t="s">
        <v>19</v>
      </c>
      <c r="C110" s="157"/>
      <c r="D110" s="157"/>
      <c r="E110" s="158"/>
      <c r="F110" s="158"/>
      <c r="G110" s="198"/>
      <c r="H110" s="198"/>
      <c r="I110" s="198"/>
      <c r="J110" s="198"/>
      <c r="K110" s="198"/>
      <c r="L110" s="198"/>
      <c r="M110" s="198"/>
      <c r="N110" s="198"/>
      <c r="O110" s="198"/>
      <c r="P110" s="199"/>
    </row>
    <row r="111" spans="2:16" ht="15.75" x14ac:dyDescent="0.2">
      <c r="B111" s="16" t="s">
        <v>20</v>
      </c>
      <c r="C111" s="158"/>
      <c r="D111" s="158"/>
      <c r="E111" s="158"/>
      <c r="F111" s="158"/>
      <c r="G111" s="198"/>
      <c r="H111" s="198"/>
      <c r="I111" s="198"/>
      <c r="J111" s="198"/>
      <c r="K111" s="198"/>
      <c r="L111" s="198"/>
      <c r="M111" s="198"/>
      <c r="N111" s="198"/>
      <c r="O111" s="198"/>
      <c r="P111" s="199"/>
    </row>
    <row r="112" spans="2:16" ht="16.5" thickBot="1" x14ac:dyDescent="0.25">
      <c r="B112" s="18" t="s">
        <v>21</v>
      </c>
      <c r="C112" s="192"/>
      <c r="D112" s="192"/>
      <c r="E112" s="192"/>
      <c r="F112" s="192"/>
      <c r="G112" s="200"/>
      <c r="H112" s="200"/>
      <c r="I112" s="200"/>
      <c r="J112" s="200"/>
      <c r="K112" s="200"/>
      <c r="L112" s="200"/>
      <c r="M112" s="200"/>
      <c r="N112" s="200"/>
      <c r="O112" s="200"/>
      <c r="P112" s="201"/>
    </row>
    <row r="117" spans="2:16" ht="15.75" hidden="1" x14ac:dyDescent="0.2">
      <c r="B117" s="120" t="s">
        <v>73</v>
      </c>
      <c r="C117" s="202"/>
      <c r="D117" s="202"/>
      <c r="E117" s="202"/>
      <c r="F117" s="202"/>
      <c r="G117" s="202"/>
      <c r="H117" s="202"/>
      <c r="I117" s="202"/>
      <c r="J117" s="202"/>
      <c r="K117" s="202"/>
      <c r="L117" s="202"/>
      <c r="M117" s="202"/>
      <c r="N117" s="202"/>
      <c r="O117" s="202"/>
      <c r="P117" s="121"/>
    </row>
    <row r="118" spans="2:16" hidden="1" x14ac:dyDescent="0.2">
      <c r="B118" s="111" t="s">
        <v>72</v>
      </c>
      <c r="C118" s="134"/>
      <c r="D118" s="134"/>
      <c r="E118" s="134"/>
      <c r="F118" s="134"/>
      <c r="G118" s="134"/>
      <c r="H118" s="134"/>
      <c r="I118" s="203"/>
      <c r="J118" s="203"/>
      <c r="K118" s="203"/>
      <c r="L118" s="203"/>
      <c r="M118" s="203"/>
      <c r="N118" s="203"/>
      <c r="O118" s="203"/>
      <c r="P118" s="204"/>
    </row>
    <row r="119" spans="2:16" ht="15.75" hidden="1" x14ac:dyDescent="0.2">
      <c r="B119" s="14" t="s">
        <v>71</v>
      </c>
      <c r="C119" s="133">
        <v>2015</v>
      </c>
      <c r="D119" s="133"/>
      <c r="E119" s="133">
        <v>2016</v>
      </c>
      <c r="F119" s="133"/>
      <c r="G119" s="133">
        <v>2017</v>
      </c>
      <c r="H119" s="133"/>
      <c r="I119" s="133">
        <v>2018</v>
      </c>
      <c r="J119" s="133"/>
      <c r="K119" s="133">
        <v>2019</v>
      </c>
      <c r="L119" s="133"/>
      <c r="M119" s="133">
        <v>2020</v>
      </c>
      <c r="N119" s="133"/>
      <c r="O119" s="133">
        <v>2021</v>
      </c>
      <c r="P119" s="178"/>
    </row>
    <row r="120" spans="2:16" ht="15.75" hidden="1" x14ac:dyDescent="0.2">
      <c r="B120" s="14" t="s">
        <v>74</v>
      </c>
      <c r="C120" s="127" t="s">
        <v>42</v>
      </c>
      <c r="D120" s="127"/>
      <c r="E120" s="127" t="s">
        <v>42</v>
      </c>
      <c r="F120" s="127"/>
      <c r="G120" s="127" t="s">
        <v>42</v>
      </c>
      <c r="H120" s="127"/>
      <c r="I120" s="127">
        <f>G103</f>
        <v>0</v>
      </c>
      <c r="J120" s="127"/>
      <c r="K120" s="127">
        <f>I103</f>
        <v>0</v>
      </c>
      <c r="L120" s="127"/>
      <c r="M120" s="127">
        <f>K103</f>
        <v>0</v>
      </c>
      <c r="N120" s="127"/>
      <c r="O120" s="127">
        <f>O103</f>
        <v>0</v>
      </c>
      <c r="P120" s="179"/>
    </row>
    <row r="121" spans="2:16" ht="15.75" hidden="1" x14ac:dyDescent="0.25">
      <c r="B121" s="14" t="s">
        <v>54</v>
      </c>
      <c r="C121" s="124">
        <f>C20</f>
        <v>0</v>
      </c>
      <c r="D121" s="124"/>
      <c r="E121" s="124">
        <f>E20</f>
        <v>0</v>
      </c>
      <c r="F121" s="124"/>
      <c r="G121" s="124">
        <f>G20</f>
        <v>0</v>
      </c>
      <c r="H121" s="124"/>
      <c r="I121" s="124">
        <f>I20</f>
        <v>0</v>
      </c>
      <c r="J121" s="124"/>
      <c r="K121" s="124">
        <f>K20</f>
        <v>0</v>
      </c>
      <c r="L121" s="124"/>
      <c r="M121" s="124">
        <f>M20</f>
        <v>0</v>
      </c>
      <c r="N121" s="124"/>
      <c r="O121" s="124">
        <f>O20</f>
        <v>0</v>
      </c>
      <c r="P121" s="174"/>
    </row>
    <row r="122" spans="2:16" ht="47.25" hidden="1" x14ac:dyDescent="0.25">
      <c r="B122" s="14" t="s">
        <v>75</v>
      </c>
      <c r="C122" s="124">
        <f>C47</f>
        <v>0</v>
      </c>
      <c r="D122" s="124"/>
      <c r="E122" s="124">
        <f>E47</f>
        <v>0</v>
      </c>
      <c r="F122" s="124"/>
      <c r="G122" s="124">
        <f>G47</f>
        <v>0</v>
      </c>
      <c r="H122" s="124"/>
      <c r="I122" s="124">
        <f>I47</f>
        <v>0</v>
      </c>
      <c r="J122" s="124"/>
      <c r="K122" s="124">
        <f>K47</f>
        <v>0</v>
      </c>
      <c r="L122" s="124"/>
      <c r="M122" s="124">
        <f>M47</f>
        <v>0</v>
      </c>
      <c r="N122" s="124"/>
      <c r="O122" s="124">
        <f>O47</f>
        <v>0</v>
      </c>
      <c r="P122" s="174"/>
    </row>
    <row r="123" spans="2:16" ht="15.75" hidden="1" x14ac:dyDescent="0.25">
      <c r="B123" s="14" t="s">
        <v>69</v>
      </c>
      <c r="C123" s="124">
        <f>C62</f>
        <v>0</v>
      </c>
      <c r="D123" s="124"/>
      <c r="E123" s="124">
        <f>E62</f>
        <v>0</v>
      </c>
      <c r="F123" s="124"/>
      <c r="G123" s="124">
        <f>G62</f>
        <v>0</v>
      </c>
      <c r="H123" s="124"/>
      <c r="I123" s="124">
        <f>I62</f>
        <v>0</v>
      </c>
      <c r="J123" s="124"/>
      <c r="K123" s="124">
        <f>K62</f>
        <v>0</v>
      </c>
      <c r="L123" s="124"/>
      <c r="M123" s="124">
        <f>M62</f>
        <v>0</v>
      </c>
      <c r="N123" s="124"/>
      <c r="O123" s="124">
        <f>O62</f>
        <v>0</v>
      </c>
      <c r="P123" s="174"/>
    </row>
    <row r="124" spans="2:16" ht="15.75" hidden="1" x14ac:dyDescent="0.25">
      <c r="B124" s="14" t="s">
        <v>80</v>
      </c>
      <c r="C124" s="124">
        <f>D62</f>
        <v>0</v>
      </c>
      <c r="D124" s="124"/>
      <c r="E124" s="124">
        <f>F62</f>
        <v>0</v>
      </c>
      <c r="F124" s="124"/>
      <c r="G124" s="124">
        <f>H62</f>
        <v>0</v>
      </c>
      <c r="H124" s="124"/>
      <c r="I124" s="124">
        <f>J62</f>
        <v>0</v>
      </c>
      <c r="J124" s="124"/>
      <c r="K124" s="124">
        <f>L62</f>
        <v>0</v>
      </c>
      <c r="L124" s="124"/>
      <c r="M124" s="124">
        <f>N62</f>
        <v>0</v>
      </c>
      <c r="N124" s="124"/>
      <c r="O124" s="124">
        <f>P62</f>
        <v>0</v>
      </c>
      <c r="P124" s="174"/>
    </row>
    <row r="125" spans="2:16" ht="15.75" hidden="1" x14ac:dyDescent="0.25">
      <c r="B125" s="14" t="s">
        <v>76</v>
      </c>
      <c r="C125" s="124" t="str">
        <f>D70</f>
        <v>..</v>
      </c>
      <c r="D125" s="124"/>
      <c r="E125" s="124" t="str">
        <f>E70</f>
        <v>..</v>
      </c>
      <c r="F125" s="124"/>
      <c r="G125" s="124" t="str">
        <f>G70</f>
        <v>..</v>
      </c>
      <c r="H125" s="124"/>
      <c r="I125" s="124" t="str">
        <f>I70</f>
        <v>..</v>
      </c>
      <c r="J125" s="124"/>
      <c r="K125" s="124" t="str">
        <f>K70</f>
        <v>..</v>
      </c>
      <c r="L125" s="124"/>
      <c r="M125" s="124" t="str">
        <f>M70</f>
        <v>..</v>
      </c>
      <c r="N125" s="124"/>
      <c r="O125" s="124" t="str">
        <f>O70</f>
        <v>..</v>
      </c>
      <c r="P125" s="174"/>
    </row>
    <row r="126" spans="2:16" ht="15.75" hidden="1" x14ac:dyDescent="0.25">
      <c r="B126" s="14" t="s">
        <v>77</v>
      </c>
      <c r="C126" s="126" t="s">
        <v>42</v>
      </c>
      <c r="D126" s="126"/>
      <c r="E126" s="126" t="str">
        <f>F70</f>
        <v>..</v>
      </c>
      <c r="F126" s="126"/>
      <c r="G126" s="126" t="str">
        <f>H70</f>
        <v>..</v>
      </c>
      <c r="H126" s="126"/>
      <c r="I126" s="126" t="str">
        <f>J70</f>
        <v>..</v>
      </c>
      <c r="J126" s="126"/>
      <c r="K126" s="126" t="str">
        <f>L70</f>
        <v>..</v>
      </c>
      <c r="L126" s="126"/>
      <c r="M126" s="126" t="str">
        <f>N70</f>
        <v>..</v>
      </c>
      <c r="N126" s="126"/>
      <c r="O126" s="126" t="str">
        <f>P70</f>
        <v>..</v>
      </c>
      <c r="P126" s="175"/>
    </row>
    <row r="127" spans="2:16" ht="15.75" hidden="1" x14ac:dyDescent="0.25">
      <c r="B127" s="14" t="s">
        <v>78</v>
      </c>
      <c r="C127" s="124" t="str">
        <f>IFERROR(C124/C123,"..")</f>
        <v>..</v>
      </c>
      <c r="D127" s="124"/>
      <c r="E127" s="124" t="str">
        <f>IFERROR(E124/E123,"..")</f>
        <v>..</v>
      </c>
      <c r="F127" s="124"/>
      <c r="G127" s="124" t="str">
        <f>IFERROR(G124/G123,"..")</f>
        <v>..</v>
      </c>
      <c r="H127" s="124"/>
      <c r="I127" s="124" t="str">
        <f>IFERROR(I124/I123,"..")</f>
        <v>..</v>
      </c>
      <c r="J127" s="124"/>
      <c r="K127" s="124" t="str">
        <f>IFERROR(K124/K123,"..")</f>
        <v>..</v>
      </c>
      <c r="L127" s="124"/>
      <c r="M127" s="124" t="str">
        <f>IFERROR(M124/M123,"..")</f>
        <v>..</v>
      </c>
      <c r="N127" s="124"/>
      <c r="O127" s="124" t="str">
        <f>IFERROR(O124/O123,"..")</f>
        <v>..</v>
      </c>
      <c r="P127" s="174"/>
    </row>
    <row r="128" spans="2:16" ht="16.5" hidden="1" thickBot="1" x14ac:dyDescent="0.3">
      <c r="B128" s="112" t="s">
        <v>79</v>
      </c>
      <c r="C128" s="125" t="str">
        <f>IFERROR(C124/C121,"..")</f>
        <v>..</v>
      </c>
      <c r="D128" s="125"/>
      <c r="E128" s="125" t="str">
        <f>IFERROR(E124/E121,"..")</f>
        <v>..</v>
      </c>
      <c r="F128" s="125"/>
      <c r="G128" s="125" t="str">
        <f>IFERROR(G124/G121,"..")</f>
        <v>..</v>
      </c>
      <c r="H128" s="125"/>
      <c r="I128" s="125" t="str">
        <f>IFERROR(I124/I121,"..")</f>
        <v>..</v>
      </c>
      <c r="J128" s="125"/>
      <c r="K128" s="125" t="str">
        <f>IFERROR(K124/K121,"..")</f>
        <v>..</v>
      </c>
      <c r="L128" s="125"/>
      <c r="M128" s="125" t="str">
        <f>IFERROR(M124/M121,"..")</f>
        <v>..</v>
      </c>
      <c r="N128" s="125"/>
      <c r="O128" s="125" t="str">
        <f>IFERROR(O124/O121,"..")</f>
        <v>..</v>
      </c>
      <c r="P128" s="193"/>
    </row>
  </sheetData>
  <sheetProtection algorithmName="SHA-512" hashValue="Gb5rG/ycexIFgeDrx3JFd4flrNFF/7DGrS990XYbGfaGqipXZJUuKwKRAS6a0otsbu/5DjbO0DvtkB4qURmagg==" saltValue="a6TMCsF3wHOPWoAiJujj7g==" spinCount="100000" sheet="1" selectLockedCells="1"/>
  <protectedRanges>
    <protectedRange sqref="C81:C93" name="טווח4"/>
    <protectedRange sqref="C11:I11" name="טווח2"/>
    <protectedRange sqref="C110:N112" name="טווח1"/>
    <protectedRange sqref="C63:P63 C104:P104" name="טווח3"/>
  </protectedRanges>
  <dataConsolidate/>
  <mergeCells count="369">
    <mergeCell ref="O32:P32"/>
    <mergeCell ref="O33:P33"/>
    <mergeCell ref="O35:P35"/>
    <mergeCell ref="O36:P36"/>
    <mergeCell ref="B14:P14"/>
    <mergeCell ref="I103:J103"/>
    <mergeCell ref="B100:P100"/>
    <mergeCell ref="B99:P99"/>
    <mergeCell ref="C104:P104"/>
    <mergeCell ref="O75:P75"/>
    <mergeCell ref="C48:D48"/>
    <mergeCell ref="E48:F48"/>
    <mergeCell ref="G48:H48"/>
    <mergeCell ref="I48:J48"/>
    <mergeCell ref="K48:L48"/>
    <mergeCell ref="M48:N48"/>
    <mergeCell ref="O48:P48"/>
    <mergeCell ref="C49:D49"/>
    <mergeCell ref="E49:F49"/>
    <mergeCell ref="G49:H49"/>
    <mergeCell ref="I49:J49"/>
    <mergeCell ref="K49:L49"/>
    <mergeCell ref="M49:N49"/>
    <mergeCell ref="O49:P49"/>
    <mergeCell ref="I15:P15"/>
    <mergeCell ref="B9:P10"/>
    <mergeCell ref="G109:P109"/>
    <mergeCell ref="G110:P110"/>
    <mergeCell ref="B107:P107"/>
    <mergeCell ref="D80:J80"/>
    <mergeCell ref="D81:J81"/>
    <mergeCell ref="D82:J82"/>
    <mergeCell ref="D83:J83"/>
    <mergeCell ref="D84:J84"/>
    <mergeCell ref="D85:J85"/>
    <mergeCell ref="D86:J86"/>
    <mergeCell ref="D87:J87"/>
    <mergeCell ref="D88:J88"/>
    <mergeCell ref="D89:J89"/>
    <mergeCell ref="D90:J90"/>
    <mergeCell ref="O23:P23"/>
    <mergeCell ref="O24:P24"/>
    <mergeCell ref="O25:P25"/>
    <mergeCell ref="O26:P26"/>
    <mergeCell ref="O27:P27"/>
    <mergeCell ref="O28:P28"/>
    <mergeCell ref="C11:I11"/>
    <mergeCell ref="O73:P73"/>
    <mergeCell ref="O29:P29"/>
    <mergeCell ref="O30:P30"/>
    <mergeCell ref="O31:P31"/>
    <mergeCell ref="O128:P128"/>
    <mergeCell ref="O102:P102"/>
    <mergeCell ref="O103:P103"/>
    <mergeCell ref="E73:F73"/>
    <mergeCell ref="E74:F74"/>
    <mergeCell ref="E75:F75"/>
    <mergeCell ref="E68:F68"/>
    <mergeCell ref="O68:P68"/>
    <mergeCell ref="G111:P111"/>
    <mergeCell ref="G112:P112"/>
    <mergeCell ref="B117:P117"/>
    <mergeCell ref="I118:P118"/>
    <mergeCell ref="D91:J91"/>
    <mergeCell ref="D92:J92"/>
    <mergeCell ref="D93:J93"/>
    <mergeCell ref="B78:P78"/>
    <mergeCell ref="O121:P121"/>
    <mergeCell ref="O122:P122"/>
    <mergeCell ref="O123:P123"/>
    <mergeCell ref="O74:P74"/>
    <mergeCell ref="O124:P124"/>
    <mergeCell ref="O125:P125"/>
    <mergeCell ref="O126:P126"/>
    <mergeCell ref="O127:P127"/>
    <mergeCell ref="O55:P55"/>
    <mergeCell ref="O43:P43"/>
    <mergeCell ref="O44:P44"/>
    <mergeCell ref="O45:P45"/>
    <mergeCell ref="O46:P46"/>
    <mergeCell ref="O47:P47"/>
    <mergeCell ref="O50:P50"/>
    <mergeCell ref="O119:P119"/>
    <mergeCell ref="O120:P120"/>
    <mergeCell ref="B66:P67"/>
    <mergeCell ref="C63:P63"/>
    <mergeCell ref="B51:P51"/>
    <mergeCell ref="B53:P53"/>
    <mergeCell ref="B54:P54"/>
    <mergeCell ref="E111:F111"/>
    <mergeCell ref="C112:D112"/>
    <mergeCell ref="E112:F112"/>
    <mergeCell ref="E110:F110"/>
    <mergeCell ref="C109:D109"/>
    <mergeCell ref="I75:J75"/>
    <mergeCell ref="E109:F109"/>
    <mergeCell ref="I16:J16"/>
    <mergeCell ref="I55:J55"/>
    <mergeCell ref="K55:L55"/>
    <mergeCell ref="M73:N73"/>
    <mergeCell ref="M74:N74"/>
    <mergeCell ref="M75:N75"/>
    <mergeCell ref="B40:P41"/>
    <mergeCell ref="I42:P42"/>
    <mergeCell ref="O16:P16"/>
    <mergeCell ref="O17:P17"/>
    <mergeCell ref="O18:P18"/>
    <mergeCell ref="O19:P19"/>
    <mergeCell ref="O20:P20"/>
    <mergeCell ref="O21:P21"/>
    <mergeCell ref="O22:P22"/>
    <mergeCell ref="I68:J68"/>
    <mergeCell ref="M20:N20"/>
    <mergeCell ref="M21:N21"/>
    <mergeCell ref="M17:N17"/>
    <mergeCell ref="M19:N19"/>
    <mergeCell ref="C18:D18"/>
    <mergeCell ref="E18:F18"/>
    <mergeCell ref="G18:H18"/>
    <mergeCell ref="I18:J18"/>
    <mergeCell ref="G15:H15"/>
    <mergeCell ref="C15:F15"/>
    <mergeCell ref="K45:L45"/>
    <mergeCell ref="M45:N45"/>
    <mergeCell ref="K46:L46"/>
    <mergeCell ref="M46:N46"/>
    <mergeCell ref="K47:L47"/>
    <mergeCell ref="M47:N47"/>
    <mergeCell ref="K50:L50"/>
    <mergeCell ref="M50:N50"/>
    <mergeCell ref="C45:D45"/>
    <mergeCell ref="E45:F45"/>
    <mergeCell ref="C46:D46"/>
    <mergeCell ref="E46:F46"/>
    <mergeCell ref="C47:D47"/>
    <mergeCell ref="M18:N18"/>
    <mergeCell ref="M16:N16"/>
    <mergeCell ref="C17:D17"/>
    <mergeCell ref="E17:F17"/>
    <mergeCell ref="G17:H17"/>
    <mergeCell ref="I17:J17"/>
    <mergeCell ref="K18:L18"/>
    <mergeCell ref="I50:J50"/>
    <mergeCell ref="K43:L43"/>
    <mergeCell ref="C110:D110"/>
    <mergeCell ref="C111:D111"/>
    <mergeCell ref="C50:D50"/>
    <mergeCell ref="E50:F50"/>
    <mergeCell ref="C16:D16"/>
    <mergeCell ref="E16:F16"/>
    <mergeCell ref="G16:H16"/>
    <mergeCell ref="K16:L16"/>
    <mergeCell ref="C20:D20"/>
    <mergeCell ref="E20:F20"/>
    <mergeCell ref="G20:H20"/>
    <mergeCell ref="I20:J20"/>
    <mergeCell ref="K20:L20"/>
    <mergeCell ref="C21:D21"/>
    <mergeCell ref="E21:F21"/>
    <mergeCell ref="G21:H21"/>
    <mergeCell ref="I21:J21"/>
    <mergeCell ref="K21:L21"/>
    <mergeCell ref="C19:D19"/>
    <mergeCell ref="E19:F19"/>
    <mergeCell ref="G19:H19"/>
    <mergeCell ref="I19:J19"/>
    <mergeCell ref="K19:L19"/>
    <mergeCell ref="K17:L17"/>
    <mergeCell ref="C22:D22"/>
    <mergeCell ref="E22:F22"/>
    <mergeCell ref="G22:H22"/>
    <mergeCell ref="I22:J22"/>
    <mergeCell ref="K22:L22"/>
    <mergeCell ref="M22:N22"/>
    <mergeCell ref="C23:D23"/>
    <mergeCell ref="E23:F23"/>
    <mergeCell ref="G23:H23"/>
    <mergeCell ref="I23:J23"/>
    <mergeCell ref="K23:L23"/>
    <mergeCell ref="M23:N23"/>
    <mergeCell ref="C24:D24"/>
    <mergeCell ref="E24:F24"/>
    <mergeCell ref="G24:H24"/>
    <mergeCell ref="I24:J24"/>
    <mergeCell ref="K24:L24"/>
    <mergeCell ref="M24:N24"/>
    <mergeCell ref="C25:D25"/>
    <mergeCell ref="E25:F25"/>
    <mergeCell ref="G25:H25"/>
    <mergeCell ref="I25:J25"/>
    <mergeCell ref="K25:L25"/>
    <mergeCell ref="M25:N25"/>
    <mergeCell ref="C26:D26"/>
    <mergeCell ref="E26:F26"/>
    <mergeCell ref="G26:H26"/>
    <mergeCell ref="I26:J26"/>
    <mergeCell ref="K26:L26"/>
    <mergeCell ref="M26:N26"/>
    <mergeCell ref="C27:D27"/>
    <mergeCell ref="E27:F27"/>
    <mergeCell ref="G27:H27"/>
    <mergeCell ref="I27:J27"/>
    <mergeCell ref="K27:L27"/>
    <mergeCell ref="M27:N27"/>
    <mergeCell ref="C28:D28"/>
    <mergeCell ref="E28:F28"/>
    <mergeCell ref="G28:H28"/>
    <mergeCell ref="I28:J28"/>
    <mergeCell ref="K28:L28"/>
    <mergeCell ref="M28:N28"/>
    <mergeCell ref="C30:D30"/>
    <mergeCell ref="E30:F30"/>
    <mergeCell ref="G30:H30"/>
    <mergeCell ref="I30:J30"/>
    <mergeCell ref="K30:L30"/>
    <mergeCell ref="M30:N30"/>
    <mergeCell ref="C29:D29"/>
    <mergeCell ref="E29:F29"/>
    <mergeCell ref="G29:H29"/>
    <mergeCell ref="I29:J29"/>
    <mergeCell ref="K29:L29"/>
    <mergeCell ref="M29:N29"/>
    <mergeCell ref="C31:D31"/>
    <mergeCell ref="E31:F31"/>
    <mergeCell ref="G31:H31"/>
    <mergeCell ref="I31:J31"/>
    <mergeCell ref="K31:L31"/>
    <mergeCell ref="M31:N31"/>
    <mergeCell ref="C32:D32"/>
    <mergeCell ref="E32:F32"/>
    <mergeCell ref="G32:H32"/>
    <mergeCell ref="I32:J32"/>
    <mergeCell ref="K32:L32"/>
    <mergeCell ref="M32:N32"/>
    <mergeCell ref="M33:N33"/>
    <mergeCell ref="E43:F43"/>
    <mergeCell ref="M43:N43"/>
    <mergeCell ref="K44:L44"/>
    <mergeCell ref="M44:N44"/>
    <mergeCell ref="G42:H42"/>
    <mergeCell ref="C44:D44"/>
    <mergeCell ref="E44:F44"/>
    <mergeCell ref="C43:D43"/>
    <mergeCell ref="M35:N35"/>
    <mergeCell ref="M36:N36"/>
    <mergeCell ref="G73:H73"/>
    <mergeCell ref="C55:D55"/>
    <mergeCell ref="E55:F55"/>
    <mergeCell ref="G55:H55"/>
    <mergeCell ref="M55:N55"/>
    <mergeCell ref="C42:F42"/>
    <mergeCell ref="G43:H43"/>
    <mergeCell ref="I43:J43"/>
    <mergeCell ref="K74:L74"/>
    <mergeCell ref="G50:H50"/>
    <mergeCell ref="G47:H47"/>
    <mergeCell ref="E47:F47"/>
    <mergeCell ref="M68:N68"/>
    <mergeCell ref="I73:J73"/>
    <mergeCell ref="I74:J74"/>
    <mergeCell ref="K73:L73"/>
    <mergeCell ref="G74:H74"/>
    <mergeCell ref="G68:H68"/>
    <mergeCell ref="K68:L68"/>
    <mergeCell ref="G75:H75"/>
    <mergeCell ref="K75:L75"/>
    <mergeCell ref="C35:D35"/>
    <mergeCell ref="E35:F35"/>
    <mergeCell ref="G35:H35"/>
    <mergeCell ref="I35:J35"/>
    <mergeCell ref="K35:L35"/>
    <mergeCell ref="C33:D33"/>
    <mergeCell ref="E33:F33"/>
    <mergeCell ref="G33:H33"/>
    <mergeCell ref="I33:J33"/>
    <mergeCell ref="K33:L33"/>
    <mergeCell ref="G44:H44"/>
    <mergeCell ref="I44:J44"/>
    <mergeCell ref="G45:H45"/>
    <mergeCell ref="I45:J45"/>
    <mergeCell ref="G46:H46"/>
    <mergeCell ref="I46:J46"/>
    <mergeCell ref="C36:D36"/>
    <mergeCell ref="E36:F36"/>
    <mergeCell ref="G36:H36"/>
    <mergeCell ref="I36:J36"/>
    <mergeCell ref="K36:L36"/>
    <mergeCell ref="I47:J47"/>
    <mergeCell ref="M101:N101"/>
    <mergeCell ref="C101:D101"/>
    <mergeCell ref="E102:F102"/>
    <mergeCell ref="G102:H102"/>
    <mergeCell ref="I102:J102"/>
    <mergeCell ref="K102:L102"/>
    <mergeCell ref="M102:N102"/>
    <mergeCell ref="C119:D119"/>
    <mergeCell ref="E119:F119"/>
    <mergeCell ref="G119:H119"/>
    <mergeCell ref="I119:J119"/>
    <mergeCell ref="K119:L119"/>
    <mergeCell ref="M119:N119"/>
    <mergeCell ref="C118:F118"/>
    <mergeCell ref="G118:H118"/>
    <mergeCell ref="C103:D103"/>
    <mergeCell ref="E103:F103"/>
    <mergeCell ref="G103:H103"/>
    <mergeCell ref="K103:L103"/>
    <mergeCell ref="C102:D102"/>
    <mergeCell ref="E101:F101"/>
    <mergeCell ref="G101:H101"/>
    <mergeCell ref="I101:J101"/>
    <mergeCell ref="K101:L101"/>
    <mergeCell ref="C121:D121"/>
    <mergeCell ref="E121:F121"/>
    <mergeCell ref="G121:H121"/>
    <mergeCell ref="I121:J121"/>
    <mergeCell ref="K121:L121"/>
    <mergeCell ref="M121:N121"/>
    <mergeCell ref="C120:D120"/>
    <mergeCell ref="E120:F120"/>
    <mergeCell ref="G120:H120"/>
    <mergeCell ref="I120:J120"/>
    <mergeCell ref="K120:L120"/>
    <mergeCell ref="M120:N120"/>
    <mergeCell ref="I124:J124"/>
    <mergeCell ref="K124:L124"/>
    <mergeCell ref="M124:N124"/>
    <mergeCell ref="C122:D122"/>
    <mergeCell ref="E122:F122"/>
    <mergeCell ref="G122:H122"/>
    <mergeCell ref="I122:J122"/>
    <mergeCell ref="K122:L122"/>
    <mergeCell ref="M122:N122"/>
    <mergeCell ref="C128:D128"/>
    <mergeCell ref="E128:F128"/>
    <mergeCell ref="G128:H128"/>
    <mergeCell ref="I128:J128"/>
    <mergeCell ref="K128:L128"/>
    <mergeCell ref="M128:N128"/>
    <mergeCell ref="C126:D126"/>
    <mergeCell ref="E126:F126"/>
    <mergeCell ref="G126:H126"/>
    <mergeCell ref="I126:J126"/>
    <mergeCell ref="K126:L126"/>
    <mergeCell ref="M126:N126"/>
    <mergeCell ref="O101:P101"/>
    <mergeCell ref="M103:N103"/>
    <mergeCell ref="U78:V79"/>
    <mergeCell ref="C127:D127"/>
    <mergeCell ref="E127:F127"/>
    <mergeCell ref="G127:H127"/>
    <mergeCell ref="I127:J127"/>
    <mergeCell ref="K127:L127"/>
    <mergeCell ref="M127:N127"/>
    <mergeCell ref="C125:D125"/>
    <mergeCell ref="E125:F125"/>
    <mergeCell ref="G125:H125"/>
    <mergeCell ref="I125:J125"/>
    <mergeCell ref="K125:L125"/>
    <mergeCell ref="M125:N125"/>
    <mergeCell ref="C123:D123"/>
    <mergeCell ref="E123:F123"/>
    <mergeCell ref="G123:H123"/>
    <mergeCell ref="I123:J123"/>
    <mergeCell ref="K123:L123"/>
    <mergeCell ref="M123:N123"/>
    <mergeCell ref="C124:D124"/>
    <mergeCell ref="E124:F124"/>
    <mergeCell ref="G124:H124"/>
  </mergeCells>
  <dataValidations count="1">
    <dataValidation type="custom" allowBlank="1" showInputMessage="1" showErrorMessage="1" errorTitle="שגיאה" error="הסיוע המבוקש לא יעלה על 50% מסך סכום ההוצאה ובתקרה מקסימלית של 500,000 ש&quot;ח." sqref="O81:O93" xr:uid="{15D7AED9-7663-40C5-A4D5-F92409B483D5}">
      <formula1>AND(O81&lt;=(M81*0.5), O81&lt;=500)</formula1>
    </dataValidation>
  </dataValidations>
  <pageMargins left="0.23622047244094491" right="0.27559055118110237" top="0.74803149606299213" bottom="0.74803149606299213" header="0.31496062992125984" footer="0.31496062992125984"/>
  <pageSetup paperSize="8" scale="49" orientation="portrait" r:id="rId1"/>
  <rowBreaks count="3" manualBreakCount="3">
    <brk id="39" max="15" man="1"/>
    <brk id="65" max="15" man="1"/>
    <brk id="114" min="1" max="13" man="1"/>
  </rowBreaks>
  <ignoredErrors>
    <ignoredError sqref="D47:N47 C48:P48"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גיליון1!$A$3:$A$8</xm:f>
          </x14:formula1>
          <xm:sqref>B81:B93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13"/>
  <sheetViews>
    <sheetView rightToLeft="1" workbookViewId="0">
      <selection activeCell="C43" sqref="C43"/>
    </sheetView>
  </sheetViews>
  <sheetFormatPr defaultRowHeight="14.25" x14ac:dyDescent="0.2"/>
  <cols>
    <col min="2" max="2" width="93.5" customWidth="1"/>
  </cols>
  <sheetData>
    <row r="3" spans="2:2" x14ac:dyDescent="0.2">
      <c r="B3" t="s">
        <v>3</v>
      </c>
    </row>
    <row r="7" spans="2:2" x14ac:dyDescent="0.2">
      <c r="B7" t="s">
        <v>10</v>
      </c>
    </row>
    <row r="8" spans="2:2" x14ac:dyDescent="0.2">
      <c r="B8" t="s">
        <v>4</v>
      </c>
    </row>
    <row r="9" spans="2:2" x14ac:dyDescent="0.2">
      <c r="B9" t="s">
        <v>5</v>
      </c>
    </row>
    <row r="10" spans="2:2" x14ac:dyDescent="0.2">
      <c r="B10" t="s">
        <v>6</v>
      </c>
    </row>
    <row r="11" spans="2:2" x14ac:dyDescent="0.2">
      <c r="B11" t="s">
        <v>7</v>
      </c>
    </row>
    <row r="12" spans="2:2" x14ac:dyDescent="0.2">
      <c r="B12" t="s">
        <v>8</v>
      </c>
    </row>
    <row r="13" spans="2:2" x14ac:dyDescent="0.2">
      <c r="B13"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7"/>
  <sheetViews>
    <sheetView rightToLeft="1" workbookViewId="0">
      <selection activeCell="A8" sqref="A8"/>
    </sheetView>
  </sheetViews>
  <sheetFormatPr defaultRowHeight="14.25" x14ac:dyDescent="0.2"/>
  <cols>
    <col min="1" max="1" width="28.625" customWidth="1"/>
  </cols>
  <sheetData>
    <row r="3" spans="1:1" x14ac:dyDescent="0.2">
      <c r="A3" t="s">
        <v>59</v>
      </c>
    </row>
    <row r="4" spans="1:1" x14ac:dyDescent="0.2">
      <c r="A4" t="s">
        <v>100</v>
      </c>
    </row>
    <row r="5" spans="1:1" ht="28.5" x14ac:dyDescent="0.2">
      <c r="A5" s="114" t="s">
        <v>101</v>
      </c>
    </row>
    <row r="6" spans="1:1" x14ac:dyDescent="0.2">
      <c r="A6" s="115" t="s">
        <v>102</v>
      </c>
    </row>
    <row r="7" spans="1:1" x14ac:dyDescent="0.2">
      <c r="A7"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נספחים" ma:contentTypeID="0x010100BAC3E148A18FE74C9AC80562FF3566870020C32DA33C7DB346B891DBB30F9075A2" ma:contentTypeVersion="25" ma:contentTypeDescription="" ma:contentTypeScope="" ma:versionID="bc2e2cb71f600e0752bb264532e212d2">
  <xsd:schema xmlns:xsd="http://www.w3.org/2001/XMLSchema" xmlns:xs="http://www.w3.org/2001/XMLSchema" xmlns:p="http://schemas.microsoft.com/office/2006/metadata/properties" xmlns:ns2="dc32afae-5fcc-43aa-aa79-31a87979d7c6" targetNamespace="http://schemas.microsoft.com/office/2006/metadata/properties" ma:root="true" ma:fieldsID="eb3c13b9e5fae539e38a3230e23ad8c6" ns2:_="">
    <xsd:import namespace="dc32afae-5fcc-43aa-aa79-31a87979d7c6"/>
    <xsd:element name="properties">
      <xsd:complexType>
        <xsd:sequence>
          <xsd:element name="documentManagement">
            <xsd:complexType>
              <xsd:all>
                <xsd:element ref="ns2:EditionNumber" minOccurs="0"/>
                <xsd:element ref="ns2:RelatedInstruction" minOccurs="0"/>
                <xsd:element ref="ns2:AttachmentType" minOccurs="0"/>
                <xsd:element ref="ns2:TaxKeywordTaxHTField" minOccurs="0"/>
                <xsd:element ref="ns2:TaxCatchAll" minOccurs="0"/>
                <xsd:element ref="ns2:TaxCatchAllLabel" minOccurs="0"/>
                <xsd:element ref="ns2:SharedWithUsers" minOccurs="0"/>
                <xsd:element ref="ns2:RelatedInstruction_x003a_מספר_x0020_הוראה_x0020_או_x0020_נוהל" minOccurs="0"/>
                <xsd:element ref="ns2:הוראת_x0020_מנכל_x0020_קשורה_x003a_תאריך_x0020_חתימה" minOccurs="0"/>
                <xsd:element ref="ns2:RelatedInstruction_x003a_מספר_x0020_מהדורה" minOccurs="0"/>
                <xsd:element ref="ns2:Index"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32afae-5fcc-43aa-aa79-31a87979d7c6" elementFormDefault="qualified">
    <xsd:import namespace="http://schemas.microsoft.com/office/2006/documentManagement/types"/>
    <xsd:import namespace="http://schemas.microsoft.com/office/infopath/2007/PartnerControls"/>
    <xsd:element name="EditionNumber" ma:index="1" nillable="true" ma:displayName="מספר מהדורה" ma:decimals="0" ma:description="מספר מהדורה מאפשר לזהות איזו גירסה של ההוראה או הנוהל מוקדמת יותר. מספר המהדורה של נוהל או הוראה חדשים יהיה 1. הגירסאות הבאות יקבלו מספר מהדורה בסדר עוקב, על פי מספרי המהדורות הקודמים." ma:internalName="EditionNumber" ma:percentage="FALSE">
      <xsd:simpleType>
        <xsd:restriction base="dms:Number"/>
      </xsd:simpleType>
    </xsd:element>
    <xsd:element name="RelatedInstruction" ma:index="3" nillable="true" ma:displayName="הוראת מנכל קשורה" ma:description="קישור להוראת המנכ&quot;ל שאליה משוייך מסמך נלווה כגון נספח, תמצית, מסמך שינויים וכדומה." ma:hidden="true" ma:list="{e13d1a5b-6edb-40d3-a90d-1e05b64d465e}" ma:internalName="RelatedInstruction" ma:readOnly="false" ma:showField="DocumentIdentifierForLookup" ma:web="dc32afae-5fcc-43aa-aa79-31a87979d7c6">
      <xsd:simpleType>
        <xsd:restriction base="dms:Lookup"/>
      </xsd:simpleType>
    </xsd:element>
    <xsd:element name="AttachmentType" ma:index="7" nillable="true" ma:displayName="סוג מסמך נלווה" ma:format="Dropdown" ma:internalName="AttachmentType">
      <xsd:simpleType>
        <xsd:restriction base="dms:Choice">
          <xsd:enumeration value="החלטת ממשלה"/>
          <xsd:enumeration value="סיכום בין-משרדי"/>
          <xsd:enumeration value="סיכום תקציבי"/>
          <xsd:enumeration value="מחקר / דוח"/>
          <xsd:enumeration value="מדריכים מקצועיים"/>
          <xsd:enumeration value="תבנית לנוהל"/>
          <xsd:enumeration value="אישור גורם ממשלתי"/>
          <xsd:enumeration value="נספח אחר"/>
        </xsd:restriction>
      </xsd:simpleType>
    </xsd:element>
    <xsd:element name="TaxKeywordTaxHTField" ma:index="9" nillable="true" ma:taxonomy="true" ma:internalName="TaxKeywordTaxHTField" ma:taxonomyFieldName="TaxKeyword" ma:displayName="מילות מפתח של ארגון" ma:readOnly="false" ma:fieldId="{23f27201-bee3-471e-b2e7-b64fd8b7ca38}" ma:taxonomyMulti="true" ma:sspId="eda4a249-7343-4ecd-92fc-d167518aa780" ma:termSetId="00000000-0000-0000-0000-000000000000" ma:anchorId="00000000-0000-0000-0000-000000000000" ma:open="true" ma:isKeyword="true">
      <xsd:complexType>
        <xsd:sequence>
          <xsd:element ref="pc:Terms" minOccurs="0" maxOccurs="1"/>
        </xsd:sequence>
      </xsd:complexType>
    </xsd:element>
    <xsd:element name="TaxCatchAll" ma:index="10" nillable="true" ma:displayName="עמודת 'תפוס הכל' של טקסונומיה" ma:description="" ma:hidden="true" ma:list="{c866e504-c297-4242-a6e2-1e5402b73f2c}" ma:internalName="TaxCatchAll" ma:showField="CatchAllData" ma:web="dc32afae-5fcc-43aa-aa79-31a87979d7c6">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עמודת 'תפוס הכל' של טקסונומיה1" ma:description="" ma:hidden="true" ma:list="{c866e504-c297-4242-a6e2-1e5402b73f2c}" ma:internalName="TaxCatchAllLabel" ma:readOnly="true" ma:showField="CatchAllDataLabel" ma:web="dc32afae-5fcc-43aa-aa79-31a87979d7c6">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משותף עם"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dInstruction_x003a_מספר_x0020_הוראה_x0020_או_x0020_נוהל" ma:index="15" nillable="true" ma:displayName="RelatedInstruction:מספר הוראה או נוהל" ma:list="{e13d1a5b-6edb-40d3-a90d-1e05b64d465e}" ma:internalName="RelatedInstruction_x003A__x05de__x05e1__x05e4__x05e8__x0020__x05d4__x05d5__x05e8__x05d0__x05d4__x0020__x05d0__x05d5__x0020__x05e0__x05d5__x05d4__x05dc_" ma:readOnly="true" ma:showField="ProcedureNumber" ma:web="dc32afae-5fcc-43aa-aa79-31a87979d7c6">
      <xsd:simpleType>
        <xsd:restriction base="dms:Lookup"/>
      </xsd:simpleType>
    </xsd:element>
    <xsd:element name="הוראת_x0020_מנכל_x0020_קשורה_x003a_תאריך_x0020_חתימה" ma:index="16" nillable="true" ma:displayName="הוראת מנכל קשורה:תאריך חתימה" ma:list="{e13d1a5b-6edb-40d3-a90d-1e05b64d465e}" ma:internalName="_x05d4__x05d5__x05e8__x05d0__x05ea__x0020__x05de__x05e0__x05db__x05dc__x0020__x05e7__x05e9__x05d5__x05e8__x05d4__x003A__x05ea__x05d0__x05e8__x05d9__x05da__x0020__x05d7__x05ea__x05d9__x05de__x05d4_" ma:readOnly="true" ma:showField="SignatureDate" ma:web="dc32afae-5fcc-43aa-aa79-31a87979d7c6">
      <xsd:simpleType>
        <xsd:restriction base="dms:Lookup"/>
      </xsd:simpleType>
    </xsd:element>
    <xsd:element name="RelatedInstruction_x003a_מספר_x0020_מהדורה" ma:index="17" nillable="true" ma:displayName="RelatedInstruction:מספר מהדורה" ma:list="{e13d1a5b-6edb-40d3-a90d-1e05b64d465e}" ma:internalName="RelatedInstruction_x003A__x05de__x05e1__x05e4__x05e8__x0020__x05de__x05d4__x05d3__x05d5__x05e8__x05d4_" ma:readOnly="true" ma:showField="EditionNumber" ma:web="dc32afae-5fcc-43aa-aa79-31a87979d7c6">
      <xsd:simpleType>
        <xsd:restriction base="dms:Lookup"/>
      </xsd:simpleType>
    </xsd:element>
    <xsd:element name="Index" ma:index="19" nillable="true" ma:displayName="אינדקס" ma:decimals="0" ma:description="שדה להגדרת סדר הצגה של מסמכים ברשימות" ma:internalName="Index"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סוג תוכן"/>
        <xsd:element ref="dc:title" maxOccurs="1" ma:index="2"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latedInstruction xmlns="dc32afae-5fcc-43aa-aa79-31a87979d7c6" xsi:nil="true"/>
    <AttachmentType xmlns="dc32afae-5fcc-43aa-aa79-31a87979d7c6" xsi:nil="true"/>
    <TaxKeywordTaxHTField xmlns="dc32afae-5fcc-43aa-aa79-31a87979d7c6">
      <Terms xmlns="http://schemas.microsoft.com/office/infopath/2007/PartnerControls"/>
    </TaxKeywordTaxHTField>
    <EditionNumber xmlns="dc32afae-5fcc-43aa-aa79-31a87979d7c6" xsi:nil="true"/>
    <Index xmlns="dc32afae-5fcc-43aa-aa79-31a87979d7c6">2</Index>
    <TaxCatchAll xmlns="dc32afae-5fcc-43aa-aa79-31a87979d7c6"/>
  </documentManagement>
</p:properties>
</file>

<file path=customXml/itemProps1.xml><?xml version="1.0" encoding="utf-8"?>
<ds:datastoreItem xmlns:ds="http://schemas.openxmlformats.org/officeDocument/2006/customXml" ds:itemID="{F2D7EFC9-FC09-405B-A5CD-F1862598A35A}"/>
</file>

<file path=customXml/itemProps2.xml><?xml version="1.0" encoding="utf-8"?>
<ds:datastoreItem xmlns:ds="http://schemas.openxmlformats.org/officeDocument/2006/customXml" ds:itemID="{6A0E4DF1-B184-4753-962C-F484B26B78D1}"/>
</file>

<file path=customXml/itemProps3.xml><?xml version="1.0" encoding="utf-8"?>
<ds:datastoreItem xmlns:ds="http://schemas.openxmlformats.org/officeDocument/2006/customXml" ds:itemID="{765AFD82-EED1-4AAA-AAEA-884D1A7EF1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2</vt:i4>
      </vt:variant>
    </vt:vector>
  </HeadingPairs>
  <TitlesOfParts>
    <vt:vector size="5" baseType="lpstr">
      <vt:lpstr>נתונים כלכליים</vt:lpstr>
      <vt:lpstr>גיליון עזר רשימות בחירה </vt:lpstr>
      <vt:lpstr>גיליון1</vt:lpstr>
      <vt:lpstr>'נתונים כלכליים'!WPrint_Area_W</vt:lpstr>
      <vt:lpstr>כלים_לשיפור_הפיריון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נספח 3 - טופס אקסל מובנה לעוסק מורשה</dc:title>
  <dc:creator>Ben Shaco</dc:creator>
  <cp:lastModifiedBy>יוסי עדס</cp:lastModifiedBy>
  <cp:lastPrinted>2018-07-23T11:26:30Z</cp:lastPrinted>
  <dcterms:created xsi:type="dcterms:W3CDTF">2017-11-08T13:11:47Z</dcterms:created>
  <dcterms:modified xsi:type="dcterms:W3CDTF">2026-06-28T12:24:51Z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0x010100BAC3E148A18FE74C9AC80562FF3566870020C32DA33C7DB346B891DBB30F9075A2</vt:lpwstr>
  </property>
  <property fmtid="{D5CDD505-2E9C-101B-9397-08002B2CF9AE}" pid="3" name="TaxKeyword">
    <vt:lpwstr/>
  </property>
</Properties>
</file>